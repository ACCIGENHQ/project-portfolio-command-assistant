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Command Catalog" sheetId="3" state="visible" r:id="rId3"/>
    <sheet xmlns:r="http://schemas.openxmlformats.org/officeDocument/2006/relationships" name="Controls" sheetId="4" state="visible" r:id="rId4"/>
  </sheets>
  <definedNames>
    <definedName name="_xlnm._FilterDatabase" localSheetId="1" hidden="1">'Projects'!$A$1:$AO$21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;[Red](#,##0);-"/>
    <numFmt numFmtId="165" formatCode="0.0%"/>
    <numFmt numFmtId="166" formatCode="dd-mmm-yyyy"/>
  </numFmts>
  <fonts count="9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color rgb="00000000"/>
    </font>
    <font>
      <color rgb="000000FF"/>
    </font>
    <font>
      <color rgb="00666666"/>
    </font>
    <font>
      <b val="1"/>
    </font>
    <font>
      <b val="1"/>
      <color rgb="00FFFFFF"/>
      <sz val="16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0" pivotButton="0" quotePrefix="0" xfId="0"/>
    <xf numFmtId="166" fontId="4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164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ACCIGEN</author>
  </authors>
  <commentList>
    <comment ref="A2" authorId="0" shapeId="0">
      <text>
        <t>Synthetic prototype data created by ACCIGEN for build-along demonstration. Not sourced from Oracle, customer, or employer confidential information.</t>
      </text>
    </comment>
    <comment ref="B2" authorId="0" shapeId="0">
      <text>
        <t>Synthetic prototype data created by ACCIGEN for build-along demonstration. Not sourced from Oracle, customer, or employer confidential information.</t>
      </text>
    </comment>
    <comment ref="C2" authorId="0" shapeId="0">
      <text>
        <t>Synthetic prototype data created by ACCIGEN for build-along demonstration. Not sourced from Oracle, customer, or employer confidential information.</t>
      </text>
    </comment>
    <comment ref="D2" authorId="0" shapeId="0">
      <text>
        <t>Synthetic prototype data created by ACCIGEN for build-along demonstration. Not sourced from Oracle, customer, or employer confidential information.</t>
      </text>
    </comment>
    <comment ref="E2" authorId="0" shapeId="0">
      <text>
        <t>Synthetic prototype data created by ACCIGEN for build-along demonstration. Not sourced from Oracle, customer, or employer confidential information.</t>
      </text>
    </comment>
    <comment ref="F2" authorId="0" shapeId="0">
      <text>
        <t>Synthetic prototype data created by ACCIGEN for build-along demonstration. Not sourced from Oracle, customer, or employer confidential information.</t>
      </text>
    </comment>
    <comment ref="G2" authorId="0" shapeId="0">
      <text>
        <t>Synthetic prototype data created by ACCIGEN for build-along demonstration. Not sourced from Oracle, customer, or employer confidential information.</t>
      </text>
    </comment>
    <comment ref="H2" authorId="0" shapeId="0">
      <text>
        <t>Synthetic prototype data created by ACCIGEN for build-along demonstration. Not sourced from Oracle, customer, or employer confidential information.</t>
      </text>
    </comment>
    <comment ref="I2" authorId="0" shapeId="0">
      <text>
        <t>Synthetic prototype data created by ACCIGEN for build-along demonstration. Not sourced from Oracle, customer, or employer confidential information.</t>
      </text>
    </comment>
    <comment ref="J2" authorId="0" shapeId="0">
      <text>
        <t>Synthetic prototype data created by ACCIGEN for build-along demonstration. Not sourced from Oracle, customer, or employer confidential information.</t>
      </text>
    </comment>
    <comment ref="K2" authorId="0" shapeId="0">
      <text>
        <t>Synthetic prototype data created by ACCIGEN for build-along demonstration. Not sourced from Oracle, customer, or employer confidential information.</t>
      </text>
    </comment>
    <comment ref="L2" authorId="0" shapeId="0">
      <text>
        <t>Synthetic prototype data created by ACCIGEN for build-along demonstration. Not sourced from Oracle, customer, or employer confidential information.</t>
      </text>
    </comment>
    <comment ref="M2" authorId="0" shapeId="0">
      <text>
        <t>Synthetic prototype data created by ACCIGEN for build-along demonstration. Not sourced from Oracle, customer, or employer confidential information.</t>
      </text>
    </comment>
    <comment ref="N2" authorId="0" shapeId="0">
      <text>
        <t>Synthetic prototype data created by ACCIGEN for build-along demonstration. Not sourced from Oracle, customer, or employer confidential information.</t>
      </text>
    </comment>
    <comment ref="O2" authorId="0" shapeId="0">
      <text>
        <t>Synthetic prototype data created by ACCIGEN for build-along demonstration. Not sourced from Oracle, customer, or employer confidential information.</t>
      </text>
    </comment>
    <comment ref="P2" authorId="0" shapeId="0">
      <text>
        <t>Synthetic prototype data created by ACCIGEN for build-along demonstration. Not sourced from Oracle, customer, or employer confidential information.</t>
      </text>
    </comment>
    <comment ref="Q2" authorId="0" shapeId="0">
      <text>
        <t>Synthetic prototype data created by ACCIGEN for build-along demonstration. Not sourced from Oracle, customer, or employer confidential information.</t>
      </text>
    </comment>
    <comment ref="R2" authorId="0" shapeId="0">
      <text>
        <t>Synthetic prototype data created by ACCIGEN for build-along demonstration. Not sourced from Oracle, customer, or employer confidential information.</t>
      </text>
    </comment>
    <comment ref="S2" authorId="0" shapeId="0">
      <text>
        <t>Synthetic prototype data created by ACCIGEN for build-along demonstration. Not sourced from Oracle, customer, or employer confidential information.</t>
      </text>
    </comment>
    <comment ref="T2" authorId="0" shapeId="0">
      <text>
        <t>Synthetic prototype data created by ACCIGEN for build-along demonstration. Not sourced from Oracle, customer, or employer confidential information.</t>
      </text>
    </comment>
    <comment ref="U2" authorId="0" shapeId="0">
      <text>
        <t>Synthetic prototype data created by ACCIGEN for build-along demonstration. Not sourced from Oracle, customer, or employer confidential information.</t>
      </text>
    </comment>
    <comment ref="V2" authorId="0" shapeId="0">
      <text>
        <t>Synthetic prototype data created by ACCIGEN for build-along demonstration. Not sourced from Oracle, customer, or employer confidential information.</t>
      </text>
    </comment>
    <comment ref="W2" authorId="0" shapeId="0">
      <text>
        <t>Synthetic prototype data created by ACCIGEN for build-along demonstration. Not sourced from Oracle, customer, or employer confidential information.</t>
      </text>
    </comment>
    <comment ref="X2" authorId="0" shapeId="0">
      <text>
        <t>Synthetic prototype data created by ACCIGEN for build-along demonstration. Not sourced from Oracle, customer, or employer confidential information.</t>
      </text>
    </comment>
    <comment ref="Y2" authorId="0" shapeId="0">
      <text>
        <t>Synthetic prototype data created by ACCIGEN for build-along demonstration. Not sourced from Oracle, customer, or employer confidential information.</t>
      </text>
    </comment>
    <comment ref="Z2" authorId="0" shapeId="0">
      <text>
        <t>Synthetic prototype data created by ACCIGEN for build-along demonstration. Not sourced from Oracle, customer, or employer confidential information.</t>
      </text>
    </comment>
    <comment ref="AA2" authorId="0" shapeId="0">
      <text>
        <t>Synthetic prototype data created by ACCIGEN for build-along demonstration. Not sourced from Oracle, customer, or employer confidential information.</t>
      </text>
    </comment>
    <comment ref="AB2" authorId="0" shapeId="0">
      <text>
        <t>Synthetic prototype data created by ACCIGEN for build-along demonstration. Not sourced from Oracle, customer, or employer confidential information.</t>
      </text>
    </comment>
    <comment ref="AC2" authorId="0" shapeId="0">
      <text>
        <t>Synthetic prototype data created by ACCIGEN for build-along demonstration. Not sourced from Oracle, customer, or employer confidential information.</t>
      </text>
    </comment>
    <comment ref="AD2" authorId="0" shapeId="0">
      <text>
        <t>Synthetic prototype data created by ACCIGEN for build-along demonstration. Not sourced from Oracle, customer, or employer confidential information.</t>
      </text>
    </comment>
    <comment ref="AE2" authorId="0" shapeId="0">
      <text>
        <t>Synthetic prototype data created by ACCIGEN for build-along demonstration. Not sourced from Oracle, customer, or employer confidential information.</t>
      </text>
    </comment>
    <comment ref="AF2" authorId="0" shapeId="0">
      <text>
        <t>Synthetic prototype data created by ACCIGEN for build-along demonstration. Not sourced from Oracle, customer, or employer confidential information.</t>
      </text>
    </comment>
    <comment ref="A3" authorId="0" shapeId="0">
      <text>
        <t>Synthetic prototype data created by ACCIGEN for build-along demonstration. Not sourced from Oracle, customer, or employer confidential information.</t>
      </text>
    </comment>
    <comment ref="B3" authorId="0" shapeId="0">
      <text>
        <t>Synthetic prototype data created by ACCIGEN for build-along demonstration. Not sourced from Oracle, customer, or employer confidential information.</t>
      </text>
    </comment>
    <comment ref="C3" authorId="0" shapeId="0">
      <text>
        <t>Synthetic prototype data created by ACCIGEN for build-along demonstration. Not sourced from Oracle, customer, or employer confidential information.</t>
      </text>
    </comment>
    <comment ref="D3" authorId="0" shapeId="0">
      <text>
        <t>Synthetic prototype data created by ACCIGEN for build-along demonstration. Not sourced from Oracle, customer, or employer confidential information.</t>
      </text>
    </comment>
    <comment ref="E3" authorId="0" shapeId="0">
      <text>
        <t>Synthetic prototype data created by ACCIGEN for build-along demonstration. Not sourced from Oracle, customer, or employer confidential information.</t>
      </text>
    </comment>
    <comment ref="F3" authorId="0" shapeId="0">
      <text>
        <t>Synthetic prototype data created by ACCIGEN for build-along demonstration. Not sourced from Oracle, customer, or employer confidential information.</t>
      </text>
    </comment>
    <comment ref="G3" authorId="0" shapeId="0">
      <text>
        <t>Synthetic prototype data created by ACCIGEN for build-along demonstration. Not sourced from Oracle, customer, or employer confidential information.</t>
      </text>
    </comment>
    <comment ref="H3" authorId="0" shapeId="0">
      <text>
        <t>Synthetic prototype data created by ACCIGEN for build-along demonstration. Not sourced from Oracle, customer, or employer confidential information.</t>
      </text>
    </comment>
    <comment ref="I3" authorId="0" shapeId="0">
      <text>
        <t>Synthetic prototype data created by ACCIGEN for build-along demonstration. Not sourced from Oracle, customer, or employer confidential information.</t>
      </text>
    </comment>
    <comment ref="J3" authorId="0" shapeId="0">
      <text>
        <t>Synthetic prototype data created by ACCIGEN for build-along demonstration. Not sourced from Oracle, customer, or employer confidential information.</t>
      </text>
    </comment>
    <comment ref="K3" authorId="0" shapeId="0">
      <text>
        <t>Synthetic prototype data created by ACCIGEN for build-along demonstration. Not sourced from Oracle, customer, or employer confidential information.</t>
      </text>
    </comment>
    <comment ref="L3" authorId="0" shapeId="0">
      <text>
        <t>Synthetic prototype data created by ACCIGEN for build-along demonstration. Not sourced from Oracle, customer, or employer confidential information.</t>
      </text>
    </comment>
    <comment ref="M3" authorId="0" shapeId="0">
      <text>
        <t>Synthetic prototype data created by ACCIGEN for build-along demonstration. Not sourced from Oracle, customer, or employer confidential information.</t>
      </text>
    </comment>
    <comment ref="N3" authorId="0" shapeId="0">
      <text>
        <t>Synthetic prototype data created by ACCIGEN for build-along demonstration. Not sourced from Oracle, customer, or employer confidential information.</t>
      </text>
    </comment>
    <comment ref="O3" authorId="0" shapeId="0">
      <text>
        <t>Synthetic prototype data created by ACCIGEN for build-along demonstration. Not sourced from Oracle, customer, or employer confidential information.</t>
      </text>
    </comment>
    <comment ref="P3" authorId="0" shapeId="0">
      <text>
        <t>Synthetic prototype data created by ACCIGEN for build-along demonstration. Not sourced from Oracle, customer, or employer confidential information.</t>
      </text>
    </comment>
    <comment ref="Q3" authorId="0" shapeId="0">
      <text>
        <t>Synthetic prototype data created by ACCIGEN for build-along demonstration. Not sourced from Oracle, customer, or employer confidential information.</t>
      </text>
    </comment>
    <comment ref="R3" authorId="0" shapeId="0">
      <text>
        <t>Synthetic prototype data created by ACCIGEN for build-along demonstration. Not sourced from Oracle, customer, or employer confidential information.</t>
      </text>
    </comment>
    <comment ref="S3" authorId="0" shapeId="0">
      <text>
        <t>Synthetic prototype data created by ACCIGEN for build-along demonstration. Not sourced from Oracle, customer, or employer confidential information.</t>
      </text>
    </comment>
    <comment ref="T3" authorId="0" shapeId="0">
      <text>
        <t>Synthetic prototype data created by ACCIGEN for build-along demonstration. Not sourced from Oracle, customer, or employer confidential information.</t>
      </text>
    </comment>
    <comment ref="U3" authorId="0" shapeId="0">
      <text>
        <t>Synthetic prototype data created by ACCIGEN for build-along demonstration. Not sourced from Oracle, customer, or employer confidential information.</t>
      </text>
    </comment>
    <comment ref="V3" authorId="0" shapeId="0">
      <text>
        <t>Synthetic prototype data created by ACCIGEN for build-along demonstration. Not sourced from Oracle, customer, or employer confidential information.</t>
      </text>
    </comment>
    <comment ref="W3" authorId="0" shapeId="0">
      <text>
        <t>Synthetic prototype data created by ACCIGEN for build-along demonstration. Not sourced from Oracle, customer, or employer confidential information.</t>
      </text>
    </comment>
    <comment ref="X3" authorId="0" shapeId="0">
      <text>
        <t>Synthetic prototype data created by ACCIGEN for build-along demonstration. Not sourced from Oracle, customer, or employer confidential information.</t>
      </text>
    </comment>
    <comment ref="Y3" authorId="0" shapeId="0">
      <text>
        <t>Synthetic prototype data created by ACCIGEN for build-along demonstration. Not sourced from Oracle, customer, or employer confidential information.</t>
      </text>
    </comment>
    <comment ref="Z3" authorId="0" shapeId="0">
      <text>
        <t>Synthetic prototype data created by ACCIGEN for build-along demonstration. Not sourced from Oracle, customer, or employer confidential information.</t>
      </text>
    </comment>
    <comment ref="AA3" authorId="0" shapeId="0">
      <text>
        <t>Synthetic prototype data created by ACCIGEN for build-along demonstration. Not sourced from Oracle, customer, or employer confidential information.</t>
      </text>
    </comment>
    <comment ref="AB3" authorId="0" shapeId="0">
      <text>
        <t>Synthetic prototype data created by ACCIGEN for build-along demonstration. Not sourced from Oracle, customer, or employer confidential information.</t>
      </text>
    </comment>
    <comment ref="AC3" authorId="0" shapeId="0">
      <text>
        <t>Synthetic prototype data created by ACCIGEN for build-along demonstration. Not sourced from Oracle, customer, or employer confidential information.</t>
      </text>
    </comment>
    <comment ref="AD3" authorId="0" shapeId="0">
      <text>
        <t>Synthetic prototype data created by ACCIGEN for build-along demonstration. Not sourced from Oracle, customer, or employer confidential information.</t>
      </text>
    </comment>
    <comment ref="AE3" authorId="0" shapeId="0">
      <text>
        <t>Synthetic prototype data created by ACCIGEN for build-along demonstration. Not sourced from Oracle, customer, or employer confidential information.</t>
      </text>
    </comment>
    <comment ref="AF3" authorId="0" shapeId="0">
      <text>
        <t>Synthetic prototype data created by ACCIGEN for build-along demonstration. Not sourced from Oracle, customer, or employer confidential information.</t>
      </text>
    </comment>
    <comment ref="A4" authorId="0" shapeId="0">
      <text>
        <t>Synthetic prototype data created by ACCIGEN for build-along demonstration. Not sourced from Oracle, customer, or employer confidential information.</t>
      </text>
    </comment>
    <comment ref="B4" authorId="0" shapeId="0">
      <text>
        <t>Synthetic prototype data created by ACCIGEN for build-along demonstration. Not sourced from Oracle, customer, or employer confidential information.</t>
      </text>
    </comment>
    <comment ref="C4" authorId="0" shapeId="0">
      <text>
        <t>Synthetic prototype data created by ACCIGEN for build-along demonstration. Not sourced from Oracle, customer, or employer confidential information.</t>
      </text>
    </comment>
    <comment ref="D4" authorId="0" shapeId="0">
      <text>
        <t>Synthetic prototype data created by ACCIGEN for build-along demonstration. Not sourced from Oracle, customer, or employer confidential information.</t>
      </text>
    </comment>
    <comment ref="E4" authorId="0" shapeId="0">
      <text>
        <t>Synthetic prototype data created by ACCIGEN for build-along demonstration. Not sourced from Oracle, customer, or employer confidential information.</t>
      </text>
    </comment>
    <comment ref="F4" authorId="0" shapeId="0">
      <text>
        <t>Synthetic prototype data created by ACCIGEN for build-along demonstration. Not sourced from Oracle, customer, or employer confidential information.</t>
      </text>
    </comment>
    <comment ref="G4" authorId="0" shapeId="0">
      <text>
        <t>Synthetic prototype data created by ACCIGEN for build-along demonstration. Not sourced from Oracle, customer, or employer confidential information.</t>
      </text>
    </comment>
    <comment ref="H4" authorId="0" shapeId="0">
      <text>
        <t>Synthetic prototype data created by ACCIGEN for build-along demonstration. Not sourced from Oracle, customer, or employer confidential information.</t>
      </text>
    </comment>
    <comment ref="I4" authorId="0" shapeId="0">
      <text>
        <t>Synthetic prototype data created by ACCIGEN for build-along demonstration. Not sourced from Oracle, customer, or employer confidential information.</t>
      </text>
    </comment>
    <comment ref="J4" authorId="0" shapeId="0">
      <text>
        <t>Synthetic prototype data created by ACCIGEN for build-along demonstration. Not sourced from Oracle, customer, or employer confidential information.</t>
      </text>
    </comment>
    <comment ref="K4" authorId="0" shapeId="0">
      <text>
        <t>Synthetic prototype data created by ACCIGEN for build-along demonstration. Not sourced from Oracle, customer, or employer confidential information.</t>
      </text>
    </comment>
    <comment ref="L4" authorId="0" shapeId="0">
      <text>
        <t>Synthetic prototype data created by ACCIGEN for build-along demonstration. Not sourced from Oracle, customer, or employer confidential information.</t>
      </text>
    </comment>
    <comment ref="M4" authorId="0" shapeId="0">
      <text>
        <t>Synthetic prototype data created by ACCIGEN for build-along demonstration. Not sourced from Oracle, customer, or employer confidential information.</t>
      </text>
    </comment>
    <comment ref="N4" authorId="0" shapeId="0">
      <text>
        <t>Synthetic prototype data created by ACCIGEN for build-along demonstration. Not sourced from Oracle, customer, or employer confidential information.</t>
      </text>
    </comment>
    <comment ref="O4" authorId="0" shapeId="0">
      <text>
        <t>Synthetic prototype data created by ACCIGEN for build-along demonstration. Not sourced from Oracle, customer, or employer confidential information.</t>
      </text>
    </comment>
    <comment ref="P4" authorId="0" shapeId="0">
      <text>
        <t>Synthetic prototype data created by ACCIGEN for build-along demonstration. Not sourced from Oracle, customer, or employer confidential information.</t>
      </text>
    </comment>
    <comment ref="Q4" authorId="0" shapeId="0">
      <text>
        <t>Synthetic prototype data created by ACCIGEN for build-along demonstration. Not sourced from Oracle, customer, or employer confidential information.</t>
      </text>
    </comment>
    <comment ref="R4" authorId="0" shapeId="0">
      <text>
        <t>Synthetic prototype data created by ACCIGEN for build-along demonstration. Not sourced from Oracle, customer, or employer confidential information.</t>
      </text>
    </comment>
    <comment ref="S4" authorId="0" shapeId="0">
      <text>
        <t>Synthetic prototype data created by ACCIGEN for build-along demonstration. Not sourced from Oracle, customer, or employer confidential information.</t>
      </text>
    </comment>
    <comment ref="T4" authorId="0" shapeId="0">
      <text>
        <t>Synthetic prototype data created by ACCIGEN for build-along demonstration. Not sourced from Oracle, customer, or employer confidential information.</t>
      </text>
    </comment>
    <comment ref="U4" authorId="0" shapeId="0">
      <text>
        <t>Synthetic prototype data created by ACCIGEN for build-along demonstration. Not sourced from Oracle, customer, or employer confidential information.</t>
      </text>
    </comment>
    <comment ref="V4" authorId="0" shapeId="0">
      <text>
        <t>Synthetic prototype data created by ACCIGEN for build-along demonstration. Not sourced from Oracle, customer, or employer confidential information.</t>
      </text>
    </comment>
    <comment ref="W4" authorId="0" shapeId="0">
      <text>
        <t>Synthetic prototype data created by ACCIGEN for build-along demonstration. Not sourced from Oracle, customer, or employer confidential information.</t>
      </text>
    </comment>
    <comment ref="X4" authorId="0" shapeId="0">
      <text>
        <t>Synthetic prototype data created by ACCIGEN for build-along demonstration. Not sourced from Oracle, customer, or employer confidential information.</t>
      </text>
    </comment>
    <comment ref="Y4" authorId="0" shapeId="0">
      <text>
        <t>Synthetic prototype data created by ACCIGEN for build-along demonstration. Not sourced from Oracle, customer, or employer confidential information.</t>
      </text>
    </comment>
    <comment ref="Z4" authorId="0" shapeId="0">
      <text>
        <t>Synthetic prototype data created by ACCIGEN for build-along demonstration. Not sourced from Oracle, customer, or employer confidential information.</t>
      </text>
    </comment>
    <comment ref="AA4" authorId="0" shapeId="0">
      <text>
        <t>Synthetic prototype data created by ACCIGEN for build-along demonstration. Not sourced from Oracle, customer, or employer confidential information.</t>
      </text>
    </comment>
    <comment ref="AB4" authorId="0" shapeId="0">
      <text>
        <t>Synthetic prototype data created by ACCIGEN for build-along demonstration. Not sourced from Oracle, customer, or employer confidential information.</t>
      </text>
    </comment>
    <comment ref="AC4" authorId="0" shapeId="0">
      <text>
        <t>Synthetic prototype data created by ACCIGEN for build-along demonstration. Not sourced from Oracle, customer, or employer confidential information.</t>
      </text>
    </comment>
    <comment ref="AD4" authorId="0" shapeId="0">
      <text>
        <t>Synthetic prototype data created by ACCIGEN for build-along demonstration. Not sourced from Oracle, customer, or employer confidential information.</t>
      </text>
    </comment>
    <comment ref="AE4" authorId="0" shapeId="0">
      <text>
        <t>Synthetic prototype data created by ACCIGEN for build-along demonstration. Not sourced from Oracle, customer, or employer confidential information.</t>
      </text>
    </comment>
    <comment ref="AF4" authorId="0" shapeId="0">
      <text>
        <t>Synthetic prototype data created by ACCIGEN for build-along demonstration. Not sourced from Oracle, customer, or employer confidential information.</t>
      </text>
    </comment>
    <comment ref="A5" authorId="0" shapeId="0">
      <text>
        <t>Synthetic prototype data created by ACCIGEN for build-along demonstration. Not sourced from Oracle, customer, or employer confidential information.</t>
      </text>
    </comment>
    <comment ref="B5" authorId="0" shapeId="0">
      <text>
        <t>Synthetic prototype data created by ACCIGEN for build-along demonstration. Not sourced from Oracle, customer, or employer confidential information.</t>
      </text>
    </comment>
    <comment ref="C5" authorId="0" shapeId="0">
      <text>
        <t>Synthetic prototype data created by ACCIGEN for build-along demonstration. Not sourced from Oracle, customer, or employer confidential information.</t>
      </text>
    </comment>
    <comment ref="D5" authorId="0" shapeId="0">
      <text>
        <t>Synthetic prototype data created by ACCIGEN for build-along demonstration. Not sourced from Oracle, customer, or employer confidential information.</t>
      </text>
    </comment>
    <comment ref="E5" authorId="0" shapeId="0">
      <text>
        <t>Synthetic prototype data created by ACCIGEN for build-along demonstration. Not sourced from Oracle, customer, or employer confidential information.</t>
      </text>
    </comment>
    <comment ref="F5" authorId="0" shapeId="0">
      <text>
        <t>Synthetic prototype data created by ACCIGEN for build-along demonstration. Not sourced from Oracle, customer, or employer confidential information.</t>
      </text>
    </comment>
    <comment ref="G5" authorId="0" shapeId="0">
      <text>
        <t>Synthetic prototype data created by ACCIGEN for build-along demonstration. Not sourced from Oracle, customer, or employer confidential information.</t>
      </text>
    </comment>
    <comment ref="H5" authorId="0" shapeId="0">
      <text>
        <t>Synthetic prototype data created by ACCIGEN for build-along demonstration. Not sourced from Oracle, customer, or employer confidential information.</t>
      </text>
    </comment>
    <comment ref="I5" authorId="0" shapeId="0">
      <text>
        <t>Synthetic prototype data created by ACCIGEN for build-along demonstration. Not sourced from Oracle, customer, or employer confidential information.</t>
      </text>
    </comment>
    <comment ref="J5" authorId="0" shapeId="0">
      <text>
        <t>Synthetic prototype data created by ACCIGEN for build-along demonstration. Not sourced from Oracle, customer, or employer confidential information.</t>
      </text>
    </comment>
    <comment ref="K5" authorId="0" shapeId="0">
      <text>
        <t>Synthetic prototype data created by ACCIGEN for build-along demonstration. Not sourced from Oracle, customer, or employer confidential information.</t>
      </text>
    </comment>
    <comment ref="L5" authorId="0" shapeId="0">
      <text>
        <t>Synthetic prototype data created by ACCIGEN for build-along demonstration. Not sourced from Oracle, customer, or employer confidential information.</t>
      </text>
    </comment>
    <comment ref="M5" authorId="0" shapeId="0">
      <text>
        <t>Synthetic prototype data created by ACCIGEN for build-along demonstration. Not sourced from Oracle, customer, or employer confidential information.</t>
      </text>
    </comment>
    <comment ref="N5" authorId="0" shapeId="0">
      <text>
        <t>Synthetic prototype data created by ACCIGEN for build-along demonstration. Not sourced from Oracle, customer, or employer confidential information.</t>
      </text>
    </comment>
    <comment ref="O5" authorId="0" shapeId="0">
      <text>
        <t>Synthetic prototype data created by ACCIGEN for build-along demonstration. Not sourced from Oracle, customer, or employer confidential information.</t>
      </text>
    </comment>
    <comment ref="P5" authorId="0" shapeId="0">
      <text>
        <t>Synthetic prototype data created by ACCIGEN for build-along demonstration. Not sourced from Oracle, customer, or employer confidential information.</t>
      </text>
    </comment>
    <comment ref="Q5" authorId="0" shapeId="0">
      <text>
        <t>Synthetic prototype data created by ACCIGEN for build-along demonstration. Not sourced from Oracle, customer, or employer confidential information.</t>
      </text>
    </comment>
    <comment ref="R5" authorId="0" shapeId="0">
      <text>
        <t>Synthetic prototype data created by ACCIGEN for build-along demonstration. Not sourced from Oracle, customer, or employer confidential information.</t>
      </text>
    </comment>
    <comment ref="S5" authorId="0" shapeId="0">
      <text>
        <t>Synthetic prototype data created by ACCIGEN for build-along demonstration. Not sourced from Oracle, customer, or employer confidential information.</t>
      </text>
    </comment>
    <comment ref="T5" authorId="0" shapeId="0">
      <text>
        <t>Synthetic prototype data created by ACCIGEN for build-along demonstration. Not sourced from Oracle, customer, or employer confidential information.</t>
      </text>
    </comment>
    <comment ref="U5" authorId="0" shapeId="0">
      <text>
        <t>Synthetic prototype data created by ACCIGEN for build-along demonstration. Not sourced from Oracle, customer, or employer confidential information.</t>
      </text>
    </comment>
    <comment ref="V5" authorId="0" shapeId="0">
      <text>
        <t>Synthetic prototype data created by ACCIGEN for build-along demonstration. Not sourced from Oracle, customer, or employer confidential information.</t>
      </text>
    </comment>
    <comment ref="W5" authorId="0" shapeId="0">
      <text>
        <t>Synthetic prototype data created by ACCIGEN for build-along demonstration. Not sourced from Oracle, customer, or employer confidential information.</t>
      </text>
    </comment>
    <comment ref="X5" authorId="0" shapeId="0">
      <text>
        <t>Synthetic prototype data created by ACCIGEN for build-along demonstration. Not sourced from Oracle, customer, or employer confidential information.</t>
      </text>
    </comment>
    <comment ref="Y5" authorId="0" shapeId="0">
      <text>
        <t>Synthetic prototype data created by ACCIGEN for build-along demonstration. Not sourced from Oracle, customer, or employer confidential information.</t>
      </text>
    </comment>
    <comment ref="Z5" authorId="0" shapeId="0">
      <text>
        <t>Synthetic prototype data created by ACCIGEN for build-along demonstration. Not sourced from Oracle, customer, or employer confidential information.</t>
      </text>
    </comment>
    <comment ref="AA5" authorId="0" shapeId="0">
      <text>
        <t>Synthetic prototype data created by ACCIGEN for build-along demonstration. Not sourced from Oracle, customer, or employer confidential information.</t>
      </text>
    </comment>
    <comment ref="AB5" authorId="0" shapeId="0">
      <text>
        <t>Synthetic prototype data created by ACCIGEN for build-along demonstration. Not sourced from Oracle, customer, or employer confidential information.</t>
      </text>
    </comment>
    <comment ref="AC5" authorId="0" shapeId="0">
      <text>
        <t>Synthetic prototype data created by ACCIGEN for build-along demonstration. Not sourced from Oracle, customer, or employer confidential information.</t>
      </text>
    </comment>
    <comment ref="AD5" authorId="0" shapeId="0">
      <text>
        <t>Synthetic prototype data created by ACCIGEN for build-along demonstration. Not sourced from Oracle, customer, or employer confidential information.</t>
      </text>
    </comment>
    <comment ref="AE5" authorId="0" shapeId="0">
      <text>
        <t>Synthetic prototype data created by ACCIGEN for build-along demonstration. Not sourced from Oracle, customer, or employer confidential information.</t>
      </text>
    </comment>
    <comment ref="AF5" authorId="0" shapeId="0">
      <text>
        <t>Synthetic prototype data created by ACCIGEN for build-along demonstration. Not sourced from Oracle, customer, or employer confidential information.</t>
      </text>
    </comment>
    <comment ref="A6" authorId="0" shapeId="0">
      <text>
        <t>Synthetic prototype data created by ACCIGEN for build-along demonstration. Not sourced from Oracle, customer, or employer confidential information.</t>
      </text>
    </comment>
    <comment ref="B6" authorId="0" shapeId="0">
      <text>
        <t>Synthetic prototype data created by ACCIGEN for build-along demonstration. Not sourced from Oracle, customer, or employer confidential information.</t>
      </text>
    </comment>
    <comment ref="C6" authorId="0" shapeId="0">
      <text>
        <t>Synthetic prototype data created by ACCIGEN for build-along demonstration. Not sourced from Oracle, customer, or employer confidential information.</t>
      </text>
    </comment>
    <comment ref="D6" authorId="0" shapeId="0">
      <text>
        <t>Synthetic prototype data created by ACCIGEN for build-along demonstration. Not sourced from Oracle, customer, or employer confidential information.</t>
      </text>
    </comment>
    <comment ref="E6" authorId="0" shapeId="0">
      <text>
        <t>Synthetic prototype data created by ACCIGEN for build-along demonstration. Not sourced from Oracle, customer, or employer confidential information.</t>
      </text>
    </comment>
    <comment ref="F6" authorId="0" shapeId="0">
      <text>
        <t>Synthetic prototype data created by ACCIGEN for build-along demonstration. Not sourced from Oracle, customer, or employer confidential information.</t>
      </text>
    </comment>
    <comment ref="G6" authorId="0" shapeId="0">
      <text>
        <t>Synthetic prototype data created by ACCIGEN for build-along demonstration. Not sourced from Oracle, customer, or employer confidential information.</t>
      </text>
    </comment>
    <comment ref="H6" authorId="0" shapeId="0">
      <text>
        <t>Synthetic prototype data created by ACCIGEN for build-along demonstration. Not sourced from Oracle, customer, or employer confidential information.</t>
      </text>
    </comment>
    <comment ref="I6" authorId="0" shapeId="0">
      <text>
        <t>Synthetic prototype data created by ACCIGEN for build-along demonstration. Not sourced from Oracle, customer, or employer confidential information.</t>
      </text>
    </comment>
    <comment ref="J6" authorId="0" shapeId="0">
      <text>
        <t>Synthetic prototype data created by ACCIGEN for build-along demonstration. Not sourced from Oracle, customer, or employer confidential information.</t>
      </text>
    </comment>
    <comment ref="K6" authorId="0" shapeId="0">
      <text>
        <t>Synthetic prototype data created by ACCIGEN for build-along demonstration. Not sourced from Oracle, customer, or employer confidential information.</t>
      </text>
    </comment>
    <comment ref="L6" authorId="0" shapeId="0">
      <text>
        <t>Synthetic prototype data created by ACCIGEN for build-along demonstration. Not sourced from Oracle, customer, or employer confidential information.</t>
      </text>
    </comment>
    <comment ref="M6" authorId="0" shapeId="0">
      <text>
        <t>Synthetic prototype data created by ACCIGEN for build-along demonstration. Not sourced from Oracle, customer, or employer confidential information.</t>
      </text>
    </comment>
    <comment ref="N6" authorId="0" shapeId="0">
      <text>
        <t>Synthetic prototype data created by ACCIGEN for build-along demonstration. Not sourced from Oracle, customer, or employer confidential information.</t>
      </text>
    </comment>
    <comment ref="O6" authorId="0" shapeId="0">
      <text>
        <t>Synthetic prototype data created by ACCIGEN for build-along demonstration. Not sourced from Oracle, customer, or employer confidential information.</t>
      </text>
    </comment>
    <comment ref="P6" authorId="0" shapeId="0">
      <text>
        <t>Synthetic prototype data created by ACCIGEN for build-along demonstration. Not sourced from Oracle, customer, or employer confidential information.</t>
      </text>
    </comment>
    <comment ref="Q6" authorId="0" shapeId="0">
      <text>
        <t>Synthetic prototype data created by ACCIGEN for build-along demonstration. Not sourced from Oracle, customer, or employer confidential information.</t>
      </text>
    </comment>
    <comment ref="R6" authorId="0" shapeId="0">
      <text>
        <t>Synthetic prototype data created by ACCIGEN for build-along demonstration. Not sourced from Oracle, customer, or employer confidential information.</t>
      </text>
    </comment>
    <comment ref="S6" authorId="0" shapeId="0">
      <text>
        <t>Synthetic prototype data created by ACCIGEN for build-along demonstration. Not sourced from Oracle, customer, or employer confidential information.</t>
      </text>
    </comment>
    <comment ref="T6" authorId="0" shapeId="0">
      <text>
        <t>Synthetic prototype data created by ACCIGEN for build-along demonstration. Not sourced from Oracle, customer, or employer confidential information.</t>
      </text>
    </comment>
    <comment ref="U6" authorId="0" shapeId="0">
      <text>
        <t>Synthetic prototype data created by ACCIGEN for build-along demonstration. Not sourced from Oracle, customer, or employer confidential information.</t>
      </text>
    </comment>
    <comment ref="V6" authorId="0" shapeId="0">
      <text>
        <t>Synthetic prototype data created by ACCIGEN for build-along demonstration. Not sourced from Oracle, customer, or employer confidential information.</t>
      </text>
    </comment>
    <comment ref="W6" authorId="0" shapeId="0">
      <text>
        <t>Synthetic prototype data created by ACCIGEN for build-along demonstration. Not sourced from Oracle, customer, or employer confidential information.</t>
      </text>
    </comment>
    <comment ref="X6" authorId="0" shapeId="0">
      <text>
        <t>Synthetic prototype data created by ACCIGEN for build-along demonstration. Not sourced from Oracle, customer, or employer confidential information.</t>
      </text>
    </comment>
    <comment ref="Y6" authorId="0" shapeId="0">
      <text>
        <t>Synthetic prototype data created by ACCIGEN for build-along demonstration. Not sourced from Oracle, customer, or employer confidential information.</t>
      </text>
    </comment>
    <comment ref="Z6" authorId="0" shapeId="0">
      <text>
        <t>Synthetic prototype data created by ACCIGEN for build-along demonstration. Not sourced from Oracle, customer, or employer confidential information.</t>
      </text>
    </comment>
    <comment ref="AA6" authorId="0" shapeId="0">
      <text>
        <t>Synthetic prototype data created by ACCIGEN for build-along demonstration. Not sourced from Oracle, customer, or employer confidential information.</t>
      </text>
    </comment>
    <comment ref="AB6" authorId="0" shapeId="0">
      <text>
        <t>Synthetic prototype data created by ACCIGEN for build-along demonstration. Not sourced from Oracle, customer, or employer confidential information.</t>
      </text>
    </comment>
    <comment ref="AC6" authorId="0" shapeId="0">
      <text>
        <t>Synthetic prototype data created by ACCIGEN for build-along demonstration. Not sourced from Oracle, customer, or employer confidential information.</t>
      </text>
    </comment>
    <comment ref="AD6" authorId="0" shapeId="0">
      <text>
        <t>Synthetic prototype data created by ACCIGEN for build-along demonstration. Not sourced from Oracle, customer, or employer confidential information.</t>
      </text>
    </comment>
    <comment ref="AE6" authorId="0" shapeId="0">
      <text>
        <t>Synthetic prototype data created by ACCIGEN for build-along demonstration. Not sourced from Oracle, customer, or employer confidential information.</t>
      </text>
    </comment>
    <comment ref="AF6" authorId="0" shapeId="0">
      <text>
        <t>Synthetic prototype data created by ACCIGEN for build-along demonstration. Not sourced from Oracle, customer, or employer confidential information.</t>
      </text>
    </comment>
    <comment ref="A7" authorId="0" shapeId="0">
      <text>
        <t>Synthetic prototype data created by ACCIGEN for build-along demonstration. Not sourced from Oracle, customer, or employer confidential information.</t>
      </text>
    </comment>
    <comment ref="B7" authorId="0" shapeId="0">
      <text>
        <t>Synthetic prototype data created by ACCIGEN for build-along demonstration. Not sourced from Oracle, customer, or employer confidential information.</t>
      </text>
    </comment>
    <comment ref="C7" authorId="0" shapeId="0">
      <text>
        <t>Synthetic prototype data created by ACCIGEN for build-along demonstration. Not sourced from Oracle, customer, or employer confidential information.</t>
      </text>
    </comment>
    <comment ref="D7" authorId="0" shapeId="0">
      <text>
        <t>Synthetic prototype data created by ACCIGEN for build-along demonstration. Not sourced from Oracle, customer, or employer confidential information.</t>
      </text>
    </comment>
    <comment ref="E7" authorId="0" shapeId="0">
      <text>
        <t>Synthetic prototype data created by ACCIGEN for build-along demonstration. Not sourced from Oracle, customer, or employer confidential information.</t>
      </text>
    </comment>
    <comment ref="F7" authorId="0" shapeId="0">
      <text>
        <t>Synthetic prototype data created by ACCIGEN for build-along demonstration. Not sourced from Oracle, customer, or employer confidential information.</t>
      </text>
    </comment>
    <comment ref="G7" authorId="0" shapeId="0">
      <text>
        <t>Synthetic prototype data created by ACCIGEN for build-along demonstration. Not sourced from Oracle, customer, or employer confidential information.</t>
      </text>
    </comment>
    <comment ref="H7" authorId="0" shapeId="0">
      <text>
        <t>Synthetic prototype data created by ACCIGEN for build-along demonstration. Not sourced from Oracle, customer, or employer confidential information.</t>
      </text>
    </comment>
    <comment ref="I7" authorId="0" shapeId="0">
      <text>
        <t>Synthetic prototype data created by ACCIGEN for build-along demonstration. Not sourced from Oracle, customer, or employer confidential information.</t>
      </text>
    </comment>
    <comment ref="J7" authorId="0" shapeId="0">
      <text>
        <t>Synthetic prototype data created by ACCIGEN for build-along demonstration. Not sourced from Oracle, customer, or employer confidential information.</t>
      </text>
    </comment>
    <comment ref="K7" authorId="0" shapeId="0">
      <text>
        <t>Synthetic prototype data created by ACCIGEN for build-along demonstration. Not sourced from Oracle, customer, or employer confidential information.</t>
      </text>
    </comment>
    <comment ref="L7" authorId="0" shapeId="0">
      <text>
        <t>Synthetic prototype data created by ACCIGEN for build-along demonstration. Not sourced from Oracle, customer, or employer confidential information.</t>
      </text>
    </comment>
    <comment ref="M7" authorId="0" shapeId="0">
      <text>
        <t>Synthetic prototype data created by ACCIGEN for build-along demonstration. Not sourced from Oracle, customer, or employer confidential information.</t>
      </text>
    </comment>
    <comment ref="N7" authorId="0" shapeId="0">
      <text>
        <t>Synthetic prototype data created by ACCIGEN for build-along demonstration. Not sourced from Oracle, customer, or employer confidential information.</t>
      </text>
    </comment>
    <comment ref="O7" authorId="0" shapeId="0">
      <text>
        <t>Synthetic prototype data created by ACCIGEN for build-along demonstration. Not sourced from Oracle, customer, or employer confidential information.</t>
      </text>
    </comment>
    <comment ref="P7" authorId="0" shapeId="0">
      <text>
        <t>Synthetic prototype data created by ACCIGEN for build-along demonstration. Not sourced from Oracle, customer, or employer confidential information.</t>
      </text>
    </comment>
    <comment ref="Q7" authorId="0" shapeId="0">
      <text>
        <t>Synthetic prototype data created by ACCIGEN for build-along demonstration. Not sourced from Oracle, customer, or employer confidential information.</t>
      </text>
    </comment>
    <comment ref="R7" authorId="0" shapeId="0">
      <text>
        <t>Synthetic prototype data created by ACCIGEN for build-along demonstration. Not sourced from Oracle, customer, or employer confidential information.</t>
      </text>
    </comment>
    <comment ref="S7" authorId="0" shapeId="0">
      <text>
        <t>Synthetic prototype data created by ACCIGEN for build-along demonstration. Not sourced from Oracle, customer, or employer confidential information.</t>
      </text>
    </comment>
    <comment ref="T7" authorId="0" shapeId="0">
      <text>
        <t>Synthetic prototype data created by ACCIGEN for build-along demonstration. Not sourced from Oracle, customer, or employer confidential information.</t>
      </text>
    </comment>
    <comment ref="U7" authorId="0" shapeId="0">
      <text>
        <t>Synthetic prototype data created by ACCIGEN for build-along demonstration. Not sourced from Oracle, customer, or employer confidential information.</t>
      </text>
    </comment>
    <comment ref="V7" authorId="0" shapeId="0">
      <text>
        <t>Synthetic prototype data created by ACCIGEN for build-along demonstration. Not sourced from Oracle, customer, or employer confidential information.</t>
      </text>
    </comment>
    <comment ref="W7" authorId="0" shapeId="0">
      <text>
        <t>Synthetic prototype data created by ACCIGEN for build-along demonstration. Not sourced from Oracle, customer, or employer confidential information.</t>
      </text>
    </comment>
    <comment ref="X7" authorId="0" shapeId="0">
      <text>
        <t>Synthetic prototype data created by ACCIGEN for build-along demonstration. Not sourced from Oracle, customer, or employer confidential information.</t>
      </text>
    </comment>
    <comment ref="Y7" authorId="0" shapeId="0">
      <text>
        <t>Synthetic prototype data created by ACCIGEN for build-along demonstration. Not sourced from Oracle, customer, or employer confidential information.</t>
      </text>
    </comment>
    <comment ref="Z7" authorId="0" shapeId="0">
      <text>
        <t>Synthetic prototype data created by ACCIGEN for build-along demonstration. Not sourced from Oracle, customer, or employer confidential information.</t>
      </text>
    </comment>
    <comment ref="AA7" authorId="0" shapeId="0">
      <text>
        <t>Synthetic prototype data created by ACCIGEN for build-along demonstration. Not sourced from Oracle, customer, or employer confidential information.</t>
      </text>
    </comment>
    <comment ref="AB7" authorId="0" shapeId="0">
      <text>
        <t>Synthetic prototype data created by ACCIGEN for build-along demonstration. Not sourced from Oracle, customer, or employer confidential information.</t>
      </text>
    </comment>
    <comment ref="AC7" authorId="0" shapeId="0">
      <text>
        <t>Synthetic prototype data created by ACCIGEN for build-along demonstration. Not sourced from Oracle, customer, or employer confidential information.</t>
      </text>
    </comment>
    <comment ref="AD7" authorId="0" shapeId="0">
      <text>
        <t>Synthetic prototype data created by ACCIGEN for build-along demonstration. Not sourced from Oracle, customer, or employer confidential information.</t>
      </text>
    </comment>
    <comment ref="AE7" authorId="0" shapeId="0">
      <text>
        <t>Synthetic prototype data created by ACCIGEN for build-along demonstration. Not sourced from Oracle, customer, or employer confidential information.</t>
      </text>
    </comment>
    <comment ref="AF7" authorId="0" shapeId="0">
      <text>
        <t>Synthetic prototype data created by ACCIGEN for build-along demonstration. Not sourced from Oracle, customer, or employer confidential information.</t>
      </text>
    </comment>
    <comment ref="A8" authorId="0" shapeId="0">
      <text>
        <t>Synthetic prototype data created by ACCIGEN for build-along demonstration. Not sourced from Oracle, customer, or employer confidential information.</t>
      </text>
    </comment>
    <comment ref="B8" authorId="0" shapeId="0">
      <text>
        <t>Synthetic prototype data created by ACCIGEN for build-along demonstration. Not sourced from Oracle, customer, or employer confidential information.</t>
      </text>
    </comment>
    <comment ref="C8" authorId="0" shapeId="0">
      <text>
        <t>Synthetic prototype data created by ACCIGEN for build-along demonstration. Not sourced from Oracle, customer, or employer confidential information.</t>
      </text>
    </comment>
    <comment ref="D8" authorId="0" shapeId="0">
      <text>
        <t>Synthetic prototype data created by ACCIGEN for build-along demonstration. Not sourced from Oracle, customer, or employer confidential information.</t>
      </text>
    </comment>
    <comment ref="E8" authorId="0" shapeId="0">
      <text>
        <t>Synthetic prototype data created by ACCIGEN for build-along demonstration. Not sourced from Oracle, customer, or employer confidential information.</t>
      </text>
    </comment>
    <comment ref="F8" authorId="0" shapeId="0">
      <text>
        <t>Synthetic prototype data created by ACCIGEN for build-along demonstration. Not sourced from Oracle, customer, or employer confidential information.</t>
      </text>
    </comment>
    <comment ref="G8" authorId="0" shapeId="0">
      <text>
        <t>Synthetic prototype data created by ACCIGEN for build-along demonstration. Not sourced from Oracle, customer, or employer confidential information.</t>
      </text>
    </comment>
    <comment ref="H8" authorId="0" shapeId="0">
      <text>
        <t>Synthetic prototype data created by ACCIGEN for build-along demonstration. Not sourced from Oracle, customer, or employer confidential information.</t>
      </text>
    </comment>
    <comment ref="I8" authorId="0" shapeId="0">
      <text>
        <t>Synthetic prototype data created by ACCIGEN for build-along demonstration. Not sourced from Oracle, customer, or employer confidential information.</t>
      </text>
    </comment>
    <comment ref="J8" authorId="0" shapeId="0">
      <text>
        <t>Synthetic prototype data created by ACCIGEN for build-along demonstration. Not sourced from Oracle, customer, or employer confidential information.</t>
      </text>
    </comment>
    <comment ref="K8" authorId="0" shapeId="0">
      <text>
        <t>Synthetic prototype data created by ACCIGEN for build-along demonstration. Not sourced from Oracle, customer, or employer confidential information.</t>
      </text>
    </comment>
    <comment ref="L8" authorId="0" shapeId="0">
      <text>
        <t>Synthetic prototype data created by ACCIGEN for build-along demonstration. Not sourced from Oracle, customer, or employer confidential information.</t>
      </text>
    </comment>
    <comment ref="M8" authorId="0" shapeId="0">
      <text>
        <t>Synthetic prototype data created by ACCIGEN for build-along demonstration. Not sourced from Oracle, customer, or employer confidential information.</t>
      </text>
    </comment>
    <comment ref="N8" authorId="0" shapeId="0">
      <text>
        <t>Synthetic prototype data created by ACCIGEN for build-along demonstration. Not sourced from Oracle, customer, or employer confidential information.</t>
      </text>
    </comment>
    <comment ref="O8" authorId="0" shapeId="0">
      <text>
        <t>Synthetic prototype data created by ACCIGEN for build-along demonstration. Not sourced from Oracle, customer, or employer confidential information.</t>
      </text>
    </comment>
    <comment ref="P8" authorId="0" shapeId="0">
      <text>
        <t>Synthetic prototype data created by ACCIGEN for build-along demonstration. Not sourced from Oracle, customer, or employer confidential information.</t>
      </text>
    </comment>
    <comment ref="Q8" authorId="0" shapeId="0">
      <text>
        <t>Synthetic prototype data created by ACCIGEN for build-along demonstration. Not sourced from Oracle, customer, or employer confidential information.</t>
      </text>
    </comment>
    <comment ref="R8" authorId="0" shapeId="0">
      <text>
        <t>Synthetic prototype data created by ACCIGEN for build-along demonstration. Not sourced from Oracle, customer, or employer confidential information.</t>
      </text>
    </comment>
    <comment ref="S8" authorId="0" shapeId="0">
      <text>
        <t>Synthetic prototype data created by ACCIGEN for build-along demonstration. Not sourced from Oracle, customer, or employer confidential information.</t>
      </text>
    </comment>
    <comment ref="T8" authorId="0" shapeId="0">
      <text>
        <t>Synthetic prototype data created by ACCIGEN for build-along demonstration. Not sourced from Oracle, customer, or employer confidential information.</t>
      </text>
    </comment>
    <comment ref="U8" authorId="0" shapeId="0">
      <text>
        <t>Synthetic prototype data created by ACCIGEN for build-along demonstration. Not sourced from Oracle, customer, or employer confidential information.</t>
      </text>
    </comment>
    <comment ref="V8" authorId="0" shapeId="0">
      <text>
        <t>Synthetic prototype data created by ACCIGEN for build-along demonstration. Not sourced from Oracle, customer, or employer confidential information.</t>
      </text>
    </comment>
    <comment ref="W8" authorId="0" shapeId="0">
      <text>
        <t>Synthetic prototype data created by ACCIGEN for build-along demonstration. Not sourced from Oracle, customer, or employer confidential information.</t>
      </text>
    </comment>
    <comment ref="X8" authorId="0" shapeId="0">
      <text>
        <t>Synthetic prototype data created by ACCIGEN for build-along demonstration. Not sourced from Oracle, customer, or employer confidential information.</t>
      </text>
    </comment>
    <comment ref="Y8" authorId="0" shapeId="0">
      <text>
        <t>Synthetic prototype data created by ACCIGEN for build-along demonstration. Not sourced from Oracle, customer, or employer confidential information.</t>
      </text>
    </comment>
    <comment ref="Z8" authorId="0" shapeId="0">
      <text>
        <t>Synthetic prototype data created by ACCIGEN for build-along demonstration. Not sourced from Oracle, customer, or employer confidential information.</t>
      </text>
    </comment>
    <comment ref="AA8" authorId="0" shapeId="0">
      <text>
        <t>Synthetic prototype data created by ACCIGEN for build-along demonstration. Not sourced from Oracle, customer, or employer confidential information.</t>
      </text>
    </comment>
    <comment ref="AB8" authorId="0" shapeId="0">
      <text>
        <t>Synthetic prototype data created by ACCIGEN for build-along demonstration. Not sourced from Oracle, customer, or employer confidential information.</t>
      </text>
    </comment>
    <comment ref="AC8" authorId="0" shapeId="0">
      <text>
        <t>Synthetic prototype data created by ACCIGEN for build-along demonstration. Not sourced from Oracle, customer, or employer confidential information.</t>
      </text>
    </comment>
    <comment ref="AD8" authorId="0" shapeId="0">
      <text>
        <t>Synthetic prototype data created by ACCIGEN for build-along demonstration. Not sourced from Oracle, customer, or employer confidential information.</t>
      </text>
    </comment>
    <comment ref="AE8" authorId="0" shapeId="0">
      <text>
        <t>Synthetic prototype data created by ACCIGEN for build-along demonstration. Not sourced from Oracle, customer, or employer confidential information.</t>
      </text>
    </comment>
    <comment ref="AF8" authorId="0" shapeId="0">
      <text>
        <t>Synthetic prototype data created by ACCIGEN for build-along demonstration. Not sourced from Oracle, customer, or employer confidential information.</t>
      </text>
    </comment>
    <comment ref="A9" authorId="0" shapeId="0">
      <text>
        <t>Synthetic prototype data created by ACCIGEN for build-along demonstration. Not sourced from Oracle, customer, or employer confidential information.</t>
      </text>
    </comment>
    <comment ref="B9" authorId="0" shapeId="0">
      <text>
        <t>Synthetic prototype data created by ACCIGEN for build-along demonstration. Not sourced from Oracle, customer, or employer confidential information.</t>
      </text>
    </comment>
    <comment ref="C9" authorId="0" shapeId="0">
      <text>
        <t>Synthetic prototype data created by ACCIGEN for build-along demonstration. Not sourced from Oracle, customer, or employer confidential information.</t>
      </text>
    </comment>
    <comment ref="D9" authorId="0" shapeId="0">
      <text>
        <t>Synthetic prototype data created by ACCIGEN for build-along demonstration. Not sourced from Oracle, customer, or employer confidential information.</t>
      </text>
    </comment>
    <comment ref="E9" authorId="0" shapeId="0">
      <text>
        <t>Synthetic prototype data created by ACCIGEN for build-along demonstration. Not sourced from Oracle, customer, or employer confidential information.</t>
      </text>
    </comment>
    <comment ref="F9" authorId="0" shapeId="0">
      <text>
        <t>Synthetic prototype data created by ACCIGEN for build-along demonstration. Not sourced from Oracle, customer, or employer confidential information.</t>
      </text>
    </comment>
    <comment ref="G9" authorId="0" shapeId="0">
      <text>
        <t>Synthetic prototype data created by ACCIGEN for build-along demonstration. Not sourced from Oracle, customer, or employer confidential information.</t>
      </text>
    </comment>
    <comment ref="H9" authorId="0" shapeId="0">
      <text>
        <t>Synthetic prototype data created by ACCIGEN for build-along demonstration. Not sourced from Oracle, customer, or employer confidential information.</t>
      </text>
    </comment>
    <comment ref="I9" authorId="0" shapeId="0">
      <text>
        <t>Synthetic prototype data created by ACCIGEN for build-along demonstration. Not sourced from Oracle, customer, or employer confidential information.</t>
      </text>
    </comment>
    <comment ref="J9" authorId="0" shapeId="0">
      <text>
        <t>Synthetic prototype data created by ACCIGEN for build-along demonstration. Not sourced from Oracle, customer, or employer confidential information.</t>
      </text>
    </comment>
    <comment ref="K9" authorId="0" shapeId="0">
      <text>
        <t>Synthetic prototype data created by ACCIGEN for build-along demonstration. Not sourced from Oracle, customer, or employer confidential information.</t>
      </text>
    </comment>
    <comment ref="L9" authorId="0" shapeId="0">
      <text>
        <t>Synthetic prototype data created by ACCIGEN for build-along demonstration. Not sourced from Oracle, customer, or employer confidential information.</t>
      </text>
    </comment>
    <comment ref="M9" authorId="0" shapeId="0">
      <text>
        <t>Synthetic prototype data created by ACCIGEN for build-along demonstration. Not sourced from Oracle, customer, or employer confidential information.</t>
      </text>
    </comment>
    <comment ref="N9" authorId="0" shapeId="0">
      <text>
        <t>Synthetic prototype data created by ACCIGEN for build-along demonstration. Not sourced from Oracle, customer, or employer confidential information.</t>
      </text>
    </comment>
    <comment ref="O9" authorId="0" shapeId="0">
      <text>
        <t>Synthetic prototype data created by ACCIGEN for build-along demonstration. Not sourced from Oracle, customer, or employer confidential information.</t>
      </text>
    </comment>
    <comment ref="P9" authorId="0" shapeId="0">
      <text>
        <t>Synthetic prototype data created by ACCIGEN for build-along demonstration. Not sourced from Oracle, customer, or employer confidential information.</t>
      </text>
    </comment>
    <comment ref="Q9" authorId="0" shapeId="0">
      <text>
        <t>Synthetic prototype data created by ACCIGEN for build-along demonstration. Not sourced from Oracle, customer, or employer confidential information.</t>
      </text>
    </comment>
    <comment ref="R9" authorId="0" shapeId="0">
      <text>
        <t>Synthetic prototype data created by ACCIGEN for build-along demonstration. Not sourced from Oracle, customer, or employer confidential information.</t>
      </text>
    </comment>
    <comment ref="S9" authorId="0" shapeId="0">
      <text>
        <t>Synthetic prototype data created by ACCIGEN for build-along demonstration. Not sourced from Oracle, customer, or employer confidential information.</t>
      </text>
    </comment>
    <comment ref="T9" authorId="0" shapeId="0">
      <text>
        <t>Synthetic prototype data created by ACCIGEN for build-along demonstration. Not sourced from Oracle, customer, or employer confidential information.</t>
      </text>
    </comment>
    <comment ref="U9" authorId="0" shapeId="0">
      <text>
        <t>Synthetic prototype data created by ACCIGEN for build-along demonstration. Not sourced from Oracle, customer, or employer confidential information.</t>
      </text>
    </comment>
    <comment ref="V9" authorId="0" shapeId="0">
      <text>
        <t>Synthetic prototype data created by ACCIGEN for build-along demonstration. Not sourced from Oracle, customer, or employer confidential information.</t>
      </text>
    </comment>
    <comment ref="W9" authorId="0" shapeId="0">
      <text>
        <t>Synthetic prototype data created by ACCIGEN for build-along demonstration. Not sourced from Oracle, customer, or employer confidential information.</t>
      </text>
    </comment>
    <comment ref="X9" authorId="0" shapeId="0">
      <text>
        <t>Synthetic prototype data created by ACCIGEN for build-along demonstration. Not sourced from Oracle, customer, or employer confidential information.</t>
      </text>
    </comment>
    <comment ref="Y9" authorId="0" shapeId="0">
      <text>
        <t>Synthetic prototype data created by ACCIGEN for build-along demonstration. Not sourced from Oracle, customer, or employer confidential information.</t>
      </text>
    </comment>
    <comment ref="Z9" authorId="0" shapeId="0">
      <text>
        <t>Synthetic prototype data created by ACCIGEN for build-along demonstration. Not sourced from Oracle, customer, or employer confidential information.</t>
      </text>
    </comment>
    <comment ref="AA9" authorId="0" shapeId="0">
      <text>
        <t>Synthetic prototype data created by ACCIGEN for build-along demonstration. Not sourced from Oracle, customer, or employer confidential information.</t>
      </text>
    </comment>
    <comment ref="AB9" authorId="0" shapeId="0">
      <text>
        <t>Synthetic prototype data created by ACCIGEN for build-along demonstration. Not sourced from Oracle, customer, or employer confidential information.</t>
      </text>
    </comment>
    <comment ref="AC9" authorId="0" shapeId="0">
      <text>
        <t>Synthetic prototype data created by ACCIGEN for build-along demonstration. Not sourced from Oracle, customer, or employer confidential information.</t>
      </text>
    </comment>
    <comment ref="AD9" authorId="0" shapeId="0">
      <text>
        <t>Synthetic prototype data created by ACCIGEN for build-along demonstration. Not sourced from Oracle, customer, or employer confidential information.</t>
      </text>
    </comment>
    <comment ref="AE9" authorId="0" shapeId="0">
      <text>
        <t>Synthetic prototype data created by ACCIGEN for build-along demonstration. Not sourced from Oracle, customer, or employer confidential information.</t>
      </text>
    </comment>
    <comment ref="AF9" authorId="0" shapeId="0">
      <text>
        <t>Synthetic prototype data created by ACCIGEN for build-along demonstration. Not sourced from Oracle, customer, or employer confidential information.</t>
      </text>
    </comment>
    <comment ref="A10" authorId="0" shapeId="0">
      <text>
        <t>Synthetic prototype data created by ACCIGEN for build-along demonstration. Not sourced from Oracle, customer, or employer confidential information.</t>
      </text>
    </comment>
    <comment ref="B10" authorId="0" shapeId="0">
      <text>
        <t>Synthetic prototype data created by ACCIGEN for build-along demonstration. Not sourced from Oracle, customer, or employer confidential information.</t>
      </text>
    </comment>
    <comment ref="C10" authorId="0" shapeId="0">
      <text>
        <t>Synthetic prototype data created by ACCIGEN for build-along demonstration. Not sourced from Oracle, customer, or employer confidential information.</t>
      </text>
    </comment>
    <comment ref="D10" authorId="0" shapeId="0">
      <text>
        <t>Synthetic prototype data created by ACCIGEN for build-along demonstration. Not sourced from Oracle, customer, or employer confidential information.</t>
      </text>
    </comment>
    <comment ref="E10" authorId="0" shapeId="0">
      <text>
        <t>Synthetic prototype data created by ACCIGEN for build-along demonstration. Not sourced from Oracle, customer, or employer confidential information.</t>
      </text>
    </comment>
    <comment ref="F10" authorId="0" shapeId="0">
      <text>
        <t>Synthetic prototype data created by ACCIGEN for build-along demonstration. Not sourced from Oracle, customer, or employer confidential information.</t>
      </text>
    </comment>
    <comment ref="G10" authorId="0" shapeId="0">
      <text>
        <t>Synthetic prototype data created by ACCIGEN for build-along demonstration. Not sourced from Oracle, customer, or employer confidential information.</t>
      </text>
    </comment>
    <comment ref="H10" authorId="0" shapeId="0">
      <text>
        <t>Synthetic prototype data created by ACCIGEN for build-along demonstration. Not sourced from Oracle, customer, or employer confidential information.</t>
      </text>
    </comment>
    <comment ref="I10" authorId="0" shapeId="0">
      <text>
        <t>Synthetic prototype data created by ACCIGEN for build-along demonstration. Not sourced from Oracle, customer, or employer confidential information.</t>
      </text>
    </comment>
    <comment ref="J10" authorId="0" shapeId="0">
      <text>
        <t>Synthetic prototype data created by ACCIGEN for build-along demonstration. Not sourced from Oracle, customer, or employer confidential information.</t>
      </text>
    </comment>
    <comment ref="K10" authorId="0" shapeId="0">
      <text>
        <t>Synthetic prototype data created by ACCIGEN for build-along demonstration. Not sourced from Oracle, customer, or employer confidential information.</t>
      </text>
    </comment>
    <comment ref="L10" authorId="0" shapeId="0">
      <text>
        <t>Synthetic prototype data created by ACCIGEN for build-along demonstration. Not sourced from Oracle, customer, or employer confidential information.</t>
      </text>
    </comment>
    <comment ref="M10" authorId="0" shapeId="0">
      <text>
        <t>Synthetic prototype data created by ACCIGEN for build-along demonstration. Not sourced from Oracle, customer, or employer confidential information.</t>
      </text>
    </comment>
    <comment ref="N10" authorId="0" shapeId="0">
      <text>
        <t>Synthetic prototype data created by ACCIGEN for build-along demonstration. Not sourced from Oracle, customer, or employer confidential information.</t>
      </text>
    </comment>
    <comment ref="O10" authorId="0" shapeId="0">
      <text>
        <t>Synthetic prototype data created by ACCIGEN for build-along demonstration. Not sourced from Oracle, customer, or employer confidential information.</t>
      </text>
    </comment>
    <comment ref="P10" authorId="0" shapeId="0">
      <text>
        <t>Synthetic prototype data created by ACCIGEN for build-along demonstration. Not sourced from Oracle, customer, or employer confidential information.</t>
      </text>
    </comment>
    <comment ref="Q10" authorId="0" shapeId="0">
      <text>
        <t>Synthetic prototype data created by ACCIGEN for build-along demonstration. Not sourced from Oracle, customer, or employer confidential information.</t>
      </text>
    </comment>
    <comment ref="R10" authorId="0" shapeId="0">
      <text>
        <t>Synthetic prototype data created by ACCIGEN for build-along demonstration. Not sourced from Oracle, customer, or employer confidential information.</t>
      </text>
    </comment>
    <comment ref="S10" authorId="0" shapeId="0">
      <text>
        <t>Synthetic prototype data created by ACCIGEN for build-along demonstration. Not sourced from Oracle, customer, or employer confidential information.</t>
      </text>
    </comment>
    <comment ref="T10" authorId="0" shapeId="0">
      <text>
        <t>Synthetic prototype data created by ACCIGEN for build-along demonstration. Not sourced from Oracle, customer, or employer confidential information.</t>
      </text>
    </comment>
    <comment ref="U10" authorId="0" shapeId="0">
      <text>
        <t>Synthetic prototype data created by ACCIGEN for build-along demonstration. Not sourced from Oracle, customer, or employer confidential information.</t>
      </text>
    </comment>
    <comment ref="V10" authorId="0" shapeId="0">
      <text>
        <t>Synthetic prototype data created by ACCIGEN for build-along demonstration. Not sourced from Oracle, customer, or employer confidential information.</t>
      </text>
    </comment>
    <comment ref="W10" authorId="0" shapeId="0">
      <text>
        <t>Synthetic prototype data created by ACCIGEN for build-along demonstration. Not sourced from Oracle, customer, or employer confidential information.</t>
      </text>
    </comment>
    <comment ref="X10" authorId="0" shapeId="0">
      <text>
        <t>Synthetic prototype data created by ACCIGEN for build-along demonstration. Not sourced from Oracle, customer, or employer confidential information.</t>
      </text>
    </comment>
    <comment ref="Y10" authorId="0" shapeId="0">
      <text>
        <t>Synthetic prototype data created by ACCIGEN for build-along demonstration. Not sourced from Oracle, customer, or employer confidential information.</t>
      </text>
    </comment>
    <comment ref="Z10" authorId="0" shapeId="0">
      <text>
        <t>Synthetic prototype data created by ACCIGEN for build-along demonstration. Not sourced from Oracle, customer, or employer confidential information.</t>
      </text>
    </comment>
    <comment ref="AA10" authorId="0" shapeId="0">
      <text>
        <t>Synthetic prototype data created by ACCIGEN for build-along demonstration. Not sourced from Oracle, customer, or employer confidential information.</t>
      </text>
    </comment>
    <comment ref="AB10" authorId="0" shapeId="0">
      <text>
        <t>Synthetic prototype data created by ACCIGEN for build-along demonstration. Not sourced from Oracle, customer, or employer confidential information.</t>
      </text>
    </comment>
    <comment ref="AC10" authorId="0" shapeId="0">
      <text>
        <t>Synthetic prototype data created by ACCIGEN for build-along demonstration. Not sourced from Oracle, customer, or employer confidential information.</t>
      </text>
    </comment>
    <comment ref="AD10" authorId="0" shapeId="0">
      <text>
        <t>Synthetic prototype data created by ACCIGEN for build-along demonstration. Not sourced from Oracle, customer, or employer confidential information.</t>
      </text>
    </comment>
    <comment ref="AE10" authorId="0" shapeId="0">
      <text>
        <t>Synthetic prototype data created by ACCIGEN for build-along demonstration. Not sourced from Oracle, customer, or employer confidential information.</t>
      </text>
    </comment>
    <comment ref="AF10" authorId="0" shapeId="0">
      <text>
        <t>Synthetic prototype data created by ACCIGEN for build-along demonstration. Not sourced from Oracle, customer, or employer confidential information.</t>
      </text>
    </comment>
    <comment ref="A11" authorId="0" shapeId="0">
      <text>
        <t>Synthetic prototype data created by ACCIGEN for build-along demonstration. Not sourced from Oracle, customer, or employer confidential information.</t>
      </text>
    </comment>
    <comment ref="B11" authorId="0" shapeId="0">
      <text>
        <t>Synthetic prototype data created by ACCIGEN for build-along demonstration. Not sourced from Oracle, customer, or employer confidential information.</t>
      </text>
    </comment>
    <comment ref="C11" authorId="0" shapeId="0">
      <text>
        <t>Synthetic prototype data created by ACCIGEN for build-along demonstration. Not sourced from Oracle, customer, or employer confidential information.</t>
      </text>
    </comment>
    <comment ref="D11" authorId="0" shapeId="0">
      <text>
        <t>Synthetic prototype data created by ACCIGEN for build-along demonstration. Not sourced from Oracle, customer, or employer confidential information.</t>
      </text>
    </comment>
    <comment ref="E11" authorId="0" shapeId="0">
      <text>
        <t>Synthetic prototype data created by ACCIGEN for build-along demonstration. Not sourced from Oracle, customer, or employer confidential information.</t>
      </text>
    </comment>
    <comment ref="F11" authorId="0" shapeId="0">
      <text>
        <t>Synthetic prototype data created by ACCIGEN for build-along demonstration. Not sourced from Oracle, customer, or employer confidential information.</t>
      </text>
    </comment>
    <comment ref="G11" authorId="0" shapeId="0">
      <text>
        <t>Synthetic prototype data created by ACCIGEN for build-along demonstration. Not sourced from Oracle, customer, or employer confidential information.</t>
      </text>
    </comment>
    <comment ref="H11" authorId="0" shapeId="0">
      <text>
        <t>Synthetic prototype data created by ACCIGEN for build-along demonstration. Not sourced from Oracle, customer, or employer confidential information.</t>
      </text>
    </comment>
    <comment ref="I11" authorId="0" shapeId="0">
      <text>
        <t>Synthetic prototype data created by ACCIGEN for build-along demonstration. Not sourced from Oracle, customer, or employer confidential information.</t>
      </text>
    </comment>
    <comment ref="J11" authorId="0" shapeId="0">
      <text>
        <t>Synthetic prototype data created by ACCIGEN for build-along demonstration. Not sourced from Oracle, customer, or employer confidential information.</t>
      </text>
    </comment>
    <comment ref="K11" authorId="0" shapeId="0">
      <text>
        <t>Synthetic prototype data created by ACCIGEN for build-along demonstration. Not sourced from Oracle, customer, or employer confidential information.</t>
      </text>
    </comment>
    <comment ref="L11" authorId="0" shapeId="0">
      <text>
        <t>Synthetic prototype data created by ACCIGEN for build-along demonstration. Not sourced from Oracle, customer, or employer confidential information.</t>
      </text>
    </comment>
    <comment ref="M11" authorId="0" shapeId="0">
      <text>
        <t>Synthetic prototype data created by ACCIGEN for build-along demonstration. Not sourced from Oracle, customer, or employer confidential information.</t>
      </text>
    </comment>
    <comment ref="N11" authorId="0" shapeId="0">
      <text>
        <t>Synthetic prototype data created by ACCIGEN for build-along demonstration. Not sourced from Oracle, customer, or employer confidential information.</t>
      </text>
    </comment>
    <comment ref="O11" authorId="0" shapeId="0">
      <text>
        <t>Synthetic prototype data created by ACCIGEN for build-along demonstration. Not sourced from Oracle, customer, or employer confidential information.</t>
      </text>
    </comment>
    <comment ref="P11" authorId="0" shapeId="0">
      <text>
        <t>Synthetic prototype data created by ACCIGEN for build-along demonstration. Not sourced from Oracle, customer, or employer confidential information.</t>
      </text>
    </comment>
    <comment ref="Q11" authorId="0" shapeId="0">
      <text>
        <t>Synthetic prototype data created by ACCIGEN for build-along demonstration. Not sourced from Oracle, customer, or employer confidential information.</t>
      </text>
    </comment>
    <comment ref="R11" authorId="0" shapeId="0">
      <text>
        <t>Synthetic prototype data created by ACCIGEN for build-along demonstration. Not sourced from Oracle, customer, or employer confidential information.</t>
      </text>
    </comment>
    <comment ref="S11" authorId="0" shapeId="0">
      <text>
        <t>Synthetic prototype data created by ACCIGEN for build-along demonstration. Not sourced from Oracle, customer, or employer confidential information.</t>
      </text>
    </comment>
    <comment ref="T11" authorId="0" shapeId="0">
      <text>
        <t>Synthetic prototype data created by ACCIGEN for build-along demonstration. Not sourced from Oracle, customer, or employer confidential information.</t>
      </text>
    </comment>
    <comment ref="U11" authorId="0" shapeId="0">
      <text>
        <t>Synthetic prototype data created by ACCIGEN for build-along demonstration. Not sourced from Oracle, customer, or employer confidential information.</t>
      </text>
    </comment>
    <comment ref="V11" authorId="0" shapeId="0">
      <text>
        <t>Synthetic prototype data created by ACCIGEN for build-along demonstration. Not sourced from Oracle, customer, or employer confidential information.</t>
      </text>
    </comment>
    <comment ref="W11" authorId="0" shapeId="0">
      <text>
        <t>Synthetic prototype data created by ACCIGEN for build-along demonstration. Not sourced from Oracle, customer, or employer confidential information.</t>
      </text>
    </comment>
    <comment ref="X11" authorId="0" shapeId="0">
      <text>
        <t>Synthetic prototype data created by ACCIGEN for build-along demonstration. Not sourced from Oracle, customer, or employer confidential information.</t>
      </text>
    </comment>
    <comment ref="Y11" authorId="0" shapeId="0">
      <text>
        <t>Synthetic prototype data created by ACCIGEN for build-along demonstration. Not sourced from Oracle, customer, or employer confidential information.</t>
      </text>
    </comment>
    <comment ref="Z11" authorId="0" shapeId="0">
      <text>
        <t>Synthetic prototype data created by ACCIGEN for build-along demonstration. Not sourced from Oracle, customer, or employer confidential information.</t>
      </text>
    </comment>
    <comment ref="AA11" authorId="0" shapeId="0">
      <text>
        <t>Synthetic prototype data created by ACCIGEN for build-along demonstration. Not sourced from Oracle, customer, or employer confidential information.</t>
      </text>
    </comment>
    <comment ref="AB11" authorId="0" shapeId="0">
      <text>
        <t>Synthetic prototype data created by ACCIGEN for build-along demonstration. Not sourced from Oracle, customer, or employer confidential information.</t>
      </text>
    </comment>
    <comment ref="AC11" authorId="0" shapeId="0">
      <text>
        <t>Synthetic prototype data created by ACCIGEN for build-along demonstration. Not sourced from Oracle, customer, or employer confidential information.</t>
      </text>
    </comment>
    <comment ref="AD11" authorId="0" shapeId="0">
      <text>
        <t>Synthetic prototype data created by ACCIGEN for build-along demonstration. Not sourced from Oracle, customer, or employer confidential information.</t>
      </text>
    </comment>
    <comment ref="AE11" authorId="0" shapeId="0">
      <text>
        <t>Synthetic prototype data created by ACCIGEN for build-along demonstration. Not sourced from Oracle, customer, or employer confidential information.</t>
      </text>
    </comment>
    <comment ref="AF11" authorId="0" shapeId="0">
      <text>
        <t>Synthetic prototype data created by ACCIGEN for build-along demonstration. Not sourced from Oracle, customer, or employer confidential information.</t>
      </text>
    </comment>
    <comment ref="A12" authorId="0" shapeId="0">
      <text>
        <t>Synthetic prototype data created by ACCIGEN for build-along demonstration. Not sourced from Oracle, customer, or employer confidential information.</t>
      </text>
    </comment>
    <comment ref="B12" authorId="0" shapeId="0">
      <text>
        <t>Synthetic prototype data created by ACCIGEN for build-along demonstration. Not sourced from Oracle, customer, or employer confidential information.</t>
      </text>
    </comment>
    <comment ref="C12" authorId="0" shapeId="0">
      <text>
        <t>Synthetic prototype data created by ACCIGEN for build-along demonstration. Not sourced from Oracle, customer, or employer confidential information.</t>
      </text>
    </comment>
    <comment ref="D12" authorId="0" shapeId="0">
      <text>
        <t>Synthetic prototype data created by ACCIGEN for build-along demonstration. Not sourced from Oracle, customer, or employer confidential information.</t>
      </text>
    </comment>
    <comment ref="E12" authorId="0" shapeId="0">
      <text>
        <t>Synthetic prototype data created by ACCIGEN for build-along demonstration. Not sourced from Oracle, customer, or employer confidential information.</t>
      </text>
    </comment>
    <comment ref="F12" authorId="0" shapeId="0">
      <text>
        <t>Synthetic prototype data created by ACCIGEN for build-along demonstration. Not sourced from Oracle, customer, or employer confidential information.</t>
      </text>
    </comment>
    <comment ref="G12" authorId="0" shapeId="0">
      <text>
        <t>Synthetic prototype data created by ACCIGEN for build-along demonstration. Not sourced from Oracle, customer, or employer confidential information.</t>
      </text>
    </comment>
    <comment ref="H12" authorId="0" shapeId="0">
      <text>
        <t>Synthetic prototype data created by ACCIGEN for build-along demonstration. Not sourced from Oracle, customer, or employer confidential information.</t>
      </text>
    </comment>
    <comment ref="I12" authorId="0" shapeId="0">
      <text>
        <t>Synthetic prototype data created by ACCIGEN for build-along demonstration. Not sourced from Oracle, customer, or employer confidential information.</t>
      </text>
    </comment>
    <comment ref="J12" authorId="0" shapeId="0">
      <text>
        <t>Synthetic prototype data created by ACCIGEN for build-along demonstration. Not sourced from Oracle, customer, or employer confidential information.</t>
      </text>
    </comment>
    <comment ref="K12" authorId="0" shapeId="0">
      <text>
        <t>Synthetic prototype data created by ACCIGEN for build-along demonstration. Not sourced from Oracle, customer, or employer confidential information.</t>
      </text>
    </comment>
    <comment ref="L12" authorId="0" shapeId="0">
      <text>
        <t>Synthetic prototype data created by ACCIGEN for build-along demonstration. Not sourced from Oracle, customer, or employer confidential information.</t>
      </text>
    </comment>
    <comment ref="M12" authorId="0" shapeId="0">
      <text>
        <t>Synthetic prototype data created by ACCIGEN for build-along demonstration. Not sourced from Oracle, customer, or employer confidential information.</t>
      </text>
    </comment>
    <comment ref="N12" authorId="0" shapeId="0">
      <text>
        <t>Synthetic prototype data created by ACCIGEN for build-along demonstration. Not sourced from Oracle, customer, or employer confidential information.</t>
      </text>
    </comment>
    <comment ref="O12" authorId="0" shapeId="0">
      <text>
        <t>Synthetic prototype data created by ACCIGEN for build-along demonstration. Not sourced from Oracle, customer, or employer confidential information.</t>
      </text>
    </comment>
    <comment ref="P12" authorId="0" shapeId="0">
      <text>
        <t>Synthetic prototype data created by ACCIGEN for build-along demonstration. Not sourced from Oracle, customer, or employer confidential information.</t>
      </text>
    </comment>
    <comment ref="Q12" authorId="0" shapeId="0">
      <text>
        <t>Synthetic prototype data created by ACCIGEN for build-along demonstration. Not sourced from Oracle, customer, or employer confidential information.</t>
      </text>
    </comment>
    <comment ref="R12" authorId="0" shapeId="0">
      <text>
        <t>Synthetic prototype data created by ACCIGEN for build-along demonstration. Not sourced from Oracle, customer, or employer confidential information.</t>
      </text>
    </comment>
    <comment ref="S12" authorId="0" shapeId="0">
      <text>
        <t>Synthetic prototype data created by ACCIGEN for build-along demonstration. Not sourced from Oracle, customer, or employer confidential information.</t>
      </text>
    </comment>
    <comment ref="T12" authorId="0" shapeId="0">
      <text>
        <t>Synthetic prototype data created by ACCIGEN for build-along demonstration. Not sourced from Oracle, customer, or employer confidential information.</t>
      </text>
    </comment>
    <comment ref="U12" authorId="0" shapeId="0">
      <text>
        <t>Synthetic prototype data created by ACCIGEN for build-along demonstration. Not sourced from Oracle, customer, or employer confidential information.</t>
      </text>
    </comment>
    <comment ref="V12" authorId="0" shapeId="0">
      <text>
        <t>Synthetic prototype data created by ACCIGEN for build-along demonstration. Not sourced from Oracle, customer, or employer confidential information.</t>
      </text>
    </comment>
    <comment ref="W12" authorId="0" shapeId="0">
      <text>
        <t>Synthetic prototype data created by ACCIGEN for build-along demonstration. Not sourced from Oracle, customer, or employer confidential information.</t>
      </text>
    </comment>
    <comment ref="X12" authorId="0" shapeId="0">
      <text>
        <t>Synthetic prototype data created by ACCIGEN for build-along demonstration. Not sourced from Oracle, customer, or employer confidential information.</t>
      </text>
    </comment>
    <comment ref="Y12" authorId="0" shapeId="0">
      <text>
        <t>Synthetic prototype data created by ACCIGEN for build-along demonstration. Not sourced from Oracle, customer, or employer confidential information.</t>
      </text>
    </comment>
    <comment ref="Z12" authorId="0" shapeId="0">
      <text>
        <t>Synthetic prototype data created by ACCIGEN for build-along demonstration. Not sourced from Oracle, customer, or employer confidential information.</t>
      </text>
    </comment>
    <comment ref="AA12" authorId="0" shapeId="0">
      <text>
        <t>Synthetic prototype data created by ACCIGEN for build-along demonstration. Not sourced from Oracle, customer, or employer confidential information.</t>
      </text>
    </comment>
    <comment ref="AB12" authorId="0" shapeId="0">
      <text>
        <t>Synthetic prototype data created by ACCIGEN for build-along demonstration. Not sourced from Oracle, customer, or employer confidential information.</t>
      </text>
    </comment>
    <comment ref="AC12" authorId="0" shapeId="0">
      <text>
        <t>Synthetic prototype data created by ACCIGEN for build-along demonstration. Not sourced from Oracle, customer, or employer confidential information.</t>
      </text>
    </comment>
    <comment ref="AD12" authorId="0" shapeId="0">
      <text>
        <t>Synthetic prototype data created by ACCIGEN for build-along demonstration. Not sourced from Oracle, customer, or employer confidential information.</t>
      </text>
    </comment>
    <comment ref="AE12" authorId="0" shapeId="0">
      <text>
        <t>Synthetic prototype data created by ACCIGEN for build-along demonstration. Not sourced from Oracle, customer, or employer confidential information.</t>
      </text>
    </comment>
    <comment ref="AF12" authorId="0" shapeId="0">
      <text>
        <t>Synthetic prototype data created by ACCIGEN for build-along demonstration. Not sourced from Oracle, customer, or employer confidential information.</t>
      </text>
    </comment>
    <comment ref="A13" authorId="0" shapeId="0">
      <text>
        <t>Synthetic prototype data created by ACCIGEN for build-along demonstration. Not sourced from Oracle, customer, or employer confidential information.</t>
      </text>
    </comment>
    <comment ref="B13" authorId="0" shapeId="0">
      <text>
        <t>Synthetic prototype data created by ACCIGEN for build-along demonstration. Not sourced from Oracle, customer, or employer confidential information.</t>
      </text>
    </comment>
    <comment ref="C13" authorId="0" shapeId="0">
      <text>
        <t>Synthetic prototype data created by ACCIGEN for build-along demonstration. Not sourced from Oracle, customer, or employer confidential information.</t>
      </text>
    </comment>
    <comment ref="D13" authorId="0" shapeId="0">
      <text>
        <t>Synthetic prototype data created by ACCIGEN for build-along demonstration. Not sourced from Oracle, customer, or employer confidential information.</t>
      </text>
    </comment>
    <comment ref="E13" authorId="0" shapeId="0">
      <text>
        <t>Synthetic prototype data created by ACCIGEN for build-along demonstration. Not sourced from Oracle, customer, or employer confidential information.</t>
      </text>
    </comment>
    <comment ref="F13" authorId="0" shapeId="0">
      <text>
        <t>Synthetic prototype data created by ACCIGEN for build-along demonstration. Not sourced from Oracle, customer, or employer confidential information.</t>
      </text>
    </comment>
    <comment ref="G13" authorId="0" shapeId="0">
      <text>
        <t>Synthetic prototype data created by ACCIGEN for build-along demonstration. Not sourced from Oracle, customer, or employer confidential information.</t>
      </text>
    </comment>
    <comment ref="H13" authorId="0" shapeId="0">
      <text>
        <t>Synthetic prototype data created by ACCIGEN for build-along demonstration. Not sourced from Oracle, customer, or employer confidential information.</t>
      </text>
    </comment>
    <comment ref="I13" authorId="0" shapeId="0">
      <text>
        <t>Synthetic prototype data created by ACCIGEN for build-along demonstration. Not sourced from Oracle, customer, or employer confidential information.</t>
      </text>
    </comment>
    <comment ref="J13" authorId="0" shapeId="0">
      <text>
        <t>Synthetic prototype data created by ACCIGEN for build-along demonstration. Not sourced from Oracle, customer, or employer confidential information.</t>
      </text>
    </comment>
    <comment ref="K13" authorId="0" shapeId="0">
      <text>
        <t>Synthetic prototype data created by ACCIGEN for build-along demonstration. Not sourced from Oracle, customer, or employer confidential information.</t>
      </text>
    </comment>
    <comment ref="L13" authorId="0" shapeId="0">
      <text>
        <t>Synthetic prototype data created by ACCIGEN for build-along demonstration. Not sourced from Oracle, customer, or employer confidential information.</t>
      </text>
    </comment>
    <comment ref="M13" authorId="0" shapeId="0">
      <text>
        <t>Synthetic prototype data created by ACCIGEN for build-along demonstration. Not sourced from Oracle, customer, or employer confidential information.</t>
      </text>
    </comment>
    <comment ref="N13" authorId="0" shapeId="0">
      <text>
        <t>Synthetic prototype data created by ACCIGEN for build-along demonstration. Not sourced from Oracle, customer, or employer confidential information.</t>
      </text>
    </comment>
    <comment ref="O13" authorId="0" shapeId="0">
      <text>
        <t>Synthetic prototype data created by ACCIGEN for build-along demonstration. Not sourced from Oracle, customer, or employer confidential information.</t>
      </text>
    </comment>
    <comment ref="P13" authorId="0" shapeId="0">
      <text>
        <t>Synthetic prototype data created by ACCIGEN for build-along demonstration. Not sourced from Oracle, customer, or employer confidential information.</t>
      </text>
    </comment>
    <comment ref="Q13" authorId="0" shapeId="0">
      <text>
        <t>Synthetic prototype data created by ACCIGEN for build-along demonstration. Not sourced from Oracle, customer, or employer confidential information.</t>
      </text>
    </comment>
    <comment ref="R13" authorId="0" shapeId="0">
      <text>
        <t>Synthetic prototype data created by ACCIGEN for build-along demonstration. Not sourced from Oracle, customer, or employer confidential information.</t>
      </text>
    </comment>
    <comment ref="S13" authorId="0" shapeId="0">
      <text>
        <t>Synthetic prototype data created by ACCIGEN for build-along demonstration. Not sourced from Oracle, customer, or employer confidential information.</t>
      </text>
    </comment>
    <comment ref="T13" authorId="0" shapeId="0">
      <text>
        <t>Synthetic prototype data created by ACCIGEN for build-along demonstration. Not sourced from Oracle, customer, or employer confidential information.</t>
      </text>
    </comment>
    <comment ref="U13" authorId="0" shapeId="0">
      <text>
        <t>Synthetic prototype data created by ACCIGEN for build-along demonstration. Not sourced from Oracle, customer, or employer confidential information.</t>
      </text>
    </comment>
    <comment ref="V13" authorId="0" shapeId="0">
      <text>
        <t>Synthetic prototype data created by ACCIGEN for build-along demonstration. Not sourced from Oracle, customer, or employer confidential information.</t>
      </text>
    </comment>
    <comment ref="W13" authorId="0" shapeId="0">
      <text>
        <t>Synthetic prototype data created by ACCIGEN for build-along demonstration. Not sourced from Oracle, customer, or employer confidential information.</t>
      </text>
    </comment>
    <comment ref="X13" authorId="0" shapeId="0">
      <text>
        <t>Synthetic prototype data created by ACCIGEN for build-along demonstration. Not sourced from Oracle, customer, or employer confidential information.</t>
      </text>
    </comment>
    <comment ref="Y13" authorId="0" shapeId="0">
      <text>
        <t>Synthetic prototype data created by ACCIGEN for build-along demonstration. Not sourced from Oracle, customer, or employer confidential information.</t>
      </text>
    </comment>
    <comment ref="Z13" authorId="0" shapeId="0">
      <text>
        <t>Synthetic prototype data created by ACCIGEN for build-along demonstration. Not sourced from Oracle, customer, or employer confidential information.</t>
      </text>
    </comment>
    <comment ref="AA13" authorId="0" shapeId="0">
      <text>
        <t>Synthetic prototype data created by ACCIGEN for build-along demonstration. Not sourced from Oracle, customer, or employer confidential information.</t>
      </text>
    </comment>
    <comment ref="AB13" authorId="0" shapeId="0">
      <text>
        <t>Synthetic prototype data created by ACCIGEN for build-along demonstration. Not sourced from Oracle, customer, or employer confidential information.</t>
      </text>
    </comment>
    <comment ref="AC13" authorId="0" shapeId="0">
      <text>
        <t>Synthetic prototype data created by ACCIGEN for build-along demonstration. Not sourced from Oracle, customer, or employer confidential information.</t>
      </text>
    </comment>
    <comment ref="AD13" authorId="0" shapeId="0">
      <text>
        <t>Synthetic prototype data created by ACCIGEN for build-along demonstration. Not sourced from Oracle, customer, or employer confidential information.</t>
      </text>
    </comment>
    <comment ref="AE13" authorId="0" shapeId="0">
      <text>
        <t>Synthetic prototype data created by ACCIGEN for build-along demonstration. Not sourced from Oracle, customer, or employer confidential information.</t>
      </text>
    </comment>
    <comment ref="AF13" authorId="0" shapeId="0">
      <text>
        <t>Synthetic prototype data created by ACCIGEN for build-along demonstration. Not sourced from Oracle, customer, or employer confidential information.</t>
      </text>
    </comment>
    <comment ref="A14" authorId="0" shapeId="0">
      <text>
        <t>Synthetic prototype data created by ACCIGEN for build-along demonstration. Not sourced from Oracle, customer, or employer confidential information.</t>
      </text>
    </comment>
    <comment ref="B14" authorId="0" shapeId="0">
      <text>
        <t>Synthetic prototype data created by ACCIGEN for build-along demonstration. Not sourced from Oracle, customer, or employer confidential information.</t>
      </text>
    </comment>
    <comment ref="C14" authorId="0" shapeId="0">
      <text>
        <t>Synthetic prototype data created by ACCIGEN for build-along demonstration. Not sourced from Oracle, customer, or employer confidential information.</t>
      </text>
    </comment>
    <comment ref="D14" authorId="0" shapeId="0">
      <text>
        <t>Synthetic prototype data created by ACCIGEN for build-along demonstration. Not sourced from Oracle, customer, or employer confidential information.</t>
      </text>
    </comment>
    <comment ref="E14" authorId="0" shapeId="0">
      <text>
        <t>Synthetic prototype data created by ACCIGEN for build-along demonstration. Not sourced from Oracle, customer, or employer confidential information.</t>
      </text>
    </comment>
    <comment ref="F14" authorId="0" shapeId="0">
      <text>
        <t>Synthetic prototype data created by ACCIGEN for build-along demonstration. Not sourced from Oracle, customer, or employer confidential information.</t>
      </text>
    </comment>
    <comment ref="G14" authorId="0" shapeId="0">
      <text>
        <t>Synthetic prototype data created by ACCIGEN for build-along demonstration. Not sourced from Oracle, customer, or employer confidential information.</t>
      </text>
    </comment>
    <comment ref="H14" authorId="0" shapeId="0">
      <text>
        <t>Synthetic prototype data created by ACCIGEN for build-along demonstration. Not sourced from Oracle, customer, or employer confidential information.</t>
      </text>
    </comment>
    <comment ref="I14" authorId="0" shapeId="0">
      <text>
        <t>Synthetic prototype data created by ACCIGEN for build-along demonstration. Not sourced from Oracle, customer, or employer confidential information.</t>
      </text>
    </comment>
    <comment ref="J14" authorId="0" shapeId="0">
      <text>
        <t>Synthetic prototype data created by ACCIGEN for build-along demonstration. Not sourced from Oracle, customer, or employer confidential information.</t>
      </text>
    </comment>
    <comment ref="K14" authorId="0" shapeId="0">
      <text>
        <t>Synthetic prototype data created by ACCIGEN for build-along demonstration. Not sourced from Oracle, customer, or employer confidential information.</t>
      </text>
    </comment>
    <comment ref="L14" authorId="0" shapeId="0">
      <text>
        <t>Synthetic prototype data created by ACCIGEN for build-along demonstration. Not sourced from Oracle, customer, or employer confidential information.</t>
      </text>
    </comment>
    <comment ref="M14" authorId="0" shapeId="0">
      <text>
        <t>Synthetic prototype data created by ACCIGEN for build-along demonstration. Not sourced from Oracle, customer, or employer confidential information.</t>
      </text>
    </comment>
    <comment ref="N14" authorId="0" shapeId="0">
      <text>
        <t>Synthetic prototype data created by ACCIGEN for build-along demonstration. Not sourced from Oracle, customer, or employer confidential information.</t>
      </text>
    </comment>
    <comment ref="O14" authorId="0" shapeId="0">
      <text>
        <t>Synthetic prototype data created by ACCIGEN for build-along demonstration. Not sourced from Oracle, customer, or employer confidential information.</t>
      </text>
    </comment>
    <comment ref="P14" authorId="0" shapeId="0">
      <text>
        <t>Synthetic prototype data created by ACCIGEN for build-along demonstration. Not sourced from Oracle, customer, or employer confidential information.</t>
      </text>
    </comment>
    <comment ref="Q14" authorId="0" shapeId="0">
      <text>
        <t>Synthetic prototype data created by ACCIGEN for build-along demonstration. Not sourced from Oracle, customer, or employer confidential information.</t>
      </text>
    </comment>
    <comment ref="R14" authorId="0" shapeId="0">
      <text>
        <t>Synthetic prototype data created by ACCIGEN for build-along demonstration. Not sourced from Oracle, customer, or employer confidential information.</t>
      </text>
    </comment>
    <comment ref="S14" authorId="0" shapeId="0">
      <text>
        <t>Synthetic prototype data created by ACCIGEN for build-along demonstration. Not sourced from Oracle, customer, or employer confidential information.</t>
      </text>
    </comment>
    <comment ref="T14" authorId="0" shapeId="0">
      <text>
        <t>Synthetic prototype data created by ACCIGEN for build-along demonstration. Not sourced from Oracle, customer, or employer confidential information.</t>
      </text>
    </comment>
    <comment ref="U14" authorId="0" shapeId="0">
      <text>
        <t>Synthetic prototype data created by ACCIGEN for build-along demonstration. Not sourced from Oracle, customer, or employer confidential information.</t>
      </text>
    </comment>
    <comment ref="V14" authorId="0" shapeId="0">
      <text>
        <t>Synthetic prototype data created by ACCIGEN for build-along demonstration. Not sourced from Oracle, customer, or employer confidential information.</t>
      </text>
    </comment>
    <comment ref="W14" authorId="0" shapeId="0">
      <text>
        <t>Synthetic prototype data created by ACCIGEN for build-along demonstration. Not sourced from Oracle, customer, or employer confidential information.</t>
      </text>
    </comment>
    <comment ref="X14" authorId="0" shapeId="0">
      <text>
        <t>Synthetic prototype data created by ACCIGEN for build-along demonstration. Not sourced from Oracle, customer, or employer confidential information.</t>
      </text>
    </comment>
    <comment ref="Y14" authorId="0" shapeId="0">
      <text>
        <t>Synthetic prototype data created by ACCIGEN for build-along demonstration. Not sourced from Oracle, customer, or employer confidential information.</t>
      </text>
    </comment>
    <comment ref="Z14" authorId="0" shapeId="0">
      <text>
        <t>Synthetic prototype data created by ACCIGEN for build-along demonstration. Not sourced from Oracle, customer, or employer confidential information.</t>
      </text>
    </comment>
    <comment ref="AA14" authorId="0" shapeId="0">
      <text>
        <t>Synthetic prototype data created by ACCIGEN for build-along demonstration. Not sourced from Oracle, customer, or employer confidential information.</t>
      </text>
    </comment>
    <comment ref="AB14" authorId="0" shapeId="0">
      <text>
        <t>Synthetic prototype data created by ACCIGEN for build-along demonstration. Not sourced from Oracle, customer, or employer confidential information.</t>
      </text>
    </comment>
    <comment ref="AC14" authorId="0" shapeId="0">
      <text>
        <t>Synthetic prototype data created by ACCIGEN for build-along demonstration. Not sourced from Oracle, customer, or employer confidential information.</t>
      </text>
    </comment>
    <comment ref="AD14" authorId="0" shapeId="0">
      <text>
        <t>Synthetic prototype data created by ACCIGEN for build-along demonstration. Not sourced from Oracle, customer, or employer confidential information.</t>
      </text>
    </comment>
    <comment ref="AE14" authorId="0" shapeId="0">
      <text>
        <t>Synthetic prototype data created by ACCIGEN for build-along demonstration. Not sourced from Oracle, customer, or employer confidential information.</t>
      </text>
    </comment>
    <comment ref="AF14" authorId="0" shapeId="0">
      <text>
        <t>Synthetic prototype data created by ACCIGEN for build-along demonstration. Not sourced from Oracle, customer, or employer confidential information.</t>
      </text>
    </comment>
    <comment ref="A15" authorId="0" shapeId="0">
      <text>
        <t>Synthetic prototype data created by ACCIGEN for build-along demonstration. Not sourced from Oracle, customer, or employer confidential information.</t>
      </text>
    </comment>
    <comment ref="B15" authorId="0" shapeId="0">
      <text>
        <t>Synthetic prototype data created by ACCIGEN for build-along demonstration. Not sourced from Oracle, customer, or employer confidential information.</t>
      </text>
    </comment>
    <comment ref="C15" authorId="0" shapeId="0">
      <text>
        <t>Synthetic prototype data created by ACCIGEN for build-along demonstration. Not sourced from Oracle, customer, or employer confidential information.</t>
      </text>
    </comment>
    <comment ref="D15" authorId="0" shapeId="0">
      <text>
        <t>Synthetic prototype data created by ACCIGEN for build-along demonstration. Not sourced from Oracle, customer, or employer confidential information.</t>
      </text>
    </comment>
    <comment ref="E15" authorId="0" shapeId="0">
      <text>
        <t>Synthetic prototype data created by ACCIGEN for build-along demonstration. Not sourced from Oracle, customer, or employer confidential information.</t>
      </text>
    </comment>
    <comment ref="F15" authorId="0" shapeId="0">
      <text>
        <t>Synthetic prototype data created by ACCIGEN for build-along demonstration. Not sourced from Oracle, customer, or employer confidential information.</t>
      </text>
    </comment>
    <comment ref="G15" authorId="0" shapeId="0">
      <text>
        <t>Synthetic prototype data created by ACCIGEN for build-along demonstration. Not sourced from Oracle, customer, or employer confidential information.</t>
      </text>
    </comment>
    <comment ref="H15" authorId="0" shapeId="0">
      <text>
        <t>Synthetic prototype data created by ACCIGEN for build-along demonstration. Not sourced from Oracle, customer, or employer confidential information.</t>
      </text>
    </comment>
    <comment ref="I15" authorId="0" shapeId="0">
      <text>
        <t>Synthetic prototype data created by ACCIGEN for build-along demonstration. Not sourced from Oracle, customer, or employer confidential information.</t>
      </text>
    </comment>
    <comment ref="J15" authorId="0" shapeId="0">
      <text>
        <t>Synthetic prototype data created by ACCIGEN for build-along demonstration. Not sourced from Oracle, customer, or employer confidential information.</t>
      </text>
    </comment>
    <comment ref="K15" authorId="0" shapeId="0">
      <text>
        <t>Synthetic prototype data created by ACCIGEN for build-along demonstration. Not sourced from Oracle, customer, or employer confidential information.</t>
      </text>
    </comment>
    <comment ref="L15" authorId="0" shapeId="0">
      <text>
        <t>Synthetic prototype data created by ACCIGEN for build-along demonstration. Not sourced from Oracle, customer, or employer confidential information.</t>
      </text>
    </comment>
    <comment ref="M15" authorId="0" shapeId="0">
      <text>
        <t>Synthetic prototype data created by ACCIGEN for build-along demonstration. Not sourced from Oracle, customer, or employer confidential information.</t>
      </text>
    </comment>
    <comment ref="N15" authorId="0" shapeId="0">
      <text>
        <t>Synthetic prototype data created by ACCIGEN for build-along demonstration. Not sourced from Oracle, customer, or employer confidential information.</t>
      </text>
    </comment>
    <comment ref="O15" authorId="0" shapeId="0">
      <text>
        <t>Synthetic prototype data created by ACCIGEN for build-along demonstration. Not sourced from Oracle, customer, or employer confidential information.</t>
      </text>
    </comment>
    <comment ref="P15" authorId="0" shapeId="0">
      <text>
        <t>Synthetic prototype data created by ACCIGEN for build-along demonstration. Not sourced from Oracle, customer, or employer confidential information.</t>
      </text>
    </comment>
    <comment ref="Q15" authorId="0" shapeId="0">
      <text>
        <t>Synthetic prototype data created by ACCIGEN for build-along demonstration. Not sourced from Oracle, customer, or employer confidential information.</t>
      </text>
    </comment>
    <comment ref="R15" authorId="0" shapeId="0">
      <text>
        <t>Synthetic prototype data created by ACCIGEN for build-along demonstration. Not sourced from Oracle, customer, or employer confidential information.</t>
      </text>
    </comment>
    <comment ref="S15" authorId="0" shapeId="0">
      <text>
        <t>Synthetic prototype data created by ACCIGEN for build-along demonstration. Not sourced from Oracle, customer, or employer confidential information.</t>
      </text>
    </comment>
    <comment ref="T15" authorId="0" shapeId="0">
      <text>
        <t>Synthetic prototype data created by ACCIGEN for build-along demonstration. Not sourced from Oracle, customer, or employer confidential information.</t>
      </text>
    </comment>
    <comment ref="U15" authorId="0" shapeId="0">
      <text>
        <t>Synthetic prototype data created by ACCIGEN for build-along demonstration. Not sourced from Oracle, customer, or employer confidential information.</t>
      </text>
    </comment>
    <comment ref="V15" authorId="0" shapeId="0">
      <text>
        <t>Synthetic prototype data created by ACCIGEN for build-along demonstration. Not sourced from Oracle, customer, or employer confidential information.</t>
      </text>
    </comment>
    <comment ref="W15" authorId="0" shapeId="0">
      <text>
        <t>Synthetic prototype data created by ACCIGEN for build-along demonstration. Not sourced from Oracle, customer, or employer confidential information.</t>
      </text>
    </comment>
    <comment ref="X15" authorId="0" shapeId="0">
      <text>
        <t>Synthetic prototype data created by ACCIGEN for build-along demonstration. Not sourced from Oracle, customer, or employer confidential information.</t>
      </text>
    </comment>
    <comment ref="Y15" authorId="0" shapeId="0">
      <text>
        <t>Synthetic prototype data created by ACCIGEN for build-along demonstration. Not sourced from Oracle, customer, or employer confidential information.</t>
      </text>
    </comment>
    <comment ref="Z15" authorId="0" shapeId="0">
      <text>
        <t>Synthetic prototype data created by ACCIGEN for build-along demonstration. Not sourced from Oracle, customer, or employer confidential information.</t>
      </text>
    </comment>
    <comment ref="AA15" authorId="0" shapeId="0">
      <text>
        <t>Synthetic prototype data created by ACCIGEN for build-along demonstration. Not sourced from Oracle, customer, or employer confidential information.</t>
      </text>
    </comment>
    <comment ref="AB15" authorId="0" shapeId="0">
      <text>
        <t>Synthetic prototype data created by ACCIGEN for build-along demonstration. Not sourced from Oracle, customer, or employer confidential information.</t>
      </text>
    </comment>
    <comment ref="AC15" authorId="0" shapeId="0">
      <text>
        <t>Synthetic prototype data created by ACCIGEN for build-along demonstration. Not sourced from Oracle, customer, or employer confidential information.</t>
      </text>
    </comment>
    <comment ref="AD15" authorId="0" shapeId="0">
      <text>
        <t>Synthetic prototype data created by ACCIGEN for build-along demonstration. Not sourced from Oracle, customer, or employer confidential information.</t>
      </text>
    </comment>
    <comment ref="AE15" authorId="0" shapeId="0">
      <text>
        <t>Synthetic prototype data created by ACCIGEN for build-along demonstration. Not sourced from Oracle, customer, or employer confidential information.</t>
      </text>
    </comment>
    <comment ref="AF15" authorId="0" shapeId="0">
      <text>
        <t>Synthetic prototype data created by ACCIGEN for build-along demonstration. Not sourced from Oracle, customer, or employer confidential information.</t>
      </text>
    </comment>
    <comment ref="A16" authorId="0" shapeId="0">
      <text>
        <t>Synthetic prototype data created by ACCIGEN for build-along demonstration. Not sourced from Oracle, customer, or employer confidential information.</t>
      </text>
    </comment>
    <comment ref="B16" authorId="0" shapeId="0">
      <text>
        <t>Synthetic prototype data created by ACCIGEN for build-along demonstration. Not sourced from Oracle, customer, or employer confidential information.</t>
      </text>
    </comment>
    <comment ref="C16" authorId="0" shapeId="0">
      <text>
        <t>Synthetic prototype data created by ACCIGEN for build-along demonstration. Not sourced from Oracle, customer, or employer confidential information.</t>
      </text>
    </comment>
    <comment ref="D16" authorId="0" shapeId="0">
      <text>
        <t>Synthetic prototype data created by ACCIGEN for build-along demonstration. Not sourced from Oracle, customer, or employer confidential information.</t>
      </text>
    </comment>
    <comment ref="E16" authorId="0" shapeId="0">
      <text>
        <t>Synthetic prototype data created by ACCIGEN for build-along demonstration. Not sourced from Oracle, customer, or employer confidential information.</t>
      </text>
    </comment>
    <comment ref="F16" authorId="0" shapeId="0">
      <text>
        <t>Synthetic prototype data created by ACCIGEN for build-along demonstration. Not sourced from Oracle, customer, or employer confidential information.</t>
      </text>
    </comment>
    <comment ref="G16" authorId="0" shapeId="0">
      <text>
        <t>Synthetic prototype data created by ACCIGEN for build-along demonstration. Not sourced from Oracle, customer, or employer confidential information.</t>
      </text>
    </comment>
    <comment ref="H16" authorId="0" shapeId="0">
      <text>
        <t>Synthetic prototype data created by ACCIGEN for build-along demonstration. Not sourced from Oracle, customer, or employer confidential information.</t>
      </text>
    </comment>
    <comment ref="I16" authorId="0" shapeId="0">
      <text>
        <t>Synthetic prototype data created by ACCIGEN for build-along demonstration. Not sourced from Oracle, customer, or employer confidential information.</t>
      </text>
    </comment>
    <comment ref="J16" authorId="0" shapeId="0">
      <text>
        <t>Synthetic prototype data created by ACCIGEN for build-along demonstration. Not sourced from Oracle, customer, or employer confidential information.</t>
      </text>
    </comment>
    <comment ref="K16" authorId="0" shapeId="0">
      <text>
        <t>Synthetic prototype data created by ACCIGEN for build-along demonstration. Not sourced from Oracle, customer, or employer confidential information.</t>
      </text>
    </comment>
    <comment ref="L16" authorId="0" shapeId="0">
      <text>
        <t>Synthetic prototype data created by ACCIGEN for build-along demonstration. Not sourced from Oracle, customer, or employer confidential information.</t>
      </text>
    </comment>
    <comment ref="M16" authorId="0" shapeId="0">
      <text>
        <t>Synthetic prototype data created by ACCIGEN for build-along demonstration. Not sourced from Oracle, customer, or employer confidential information.</t>
      </text>
    </comment>
    <comment ref="N16" authorId="0" shapeId="0">
      <text>
        <t>Synthetic prototype data created by ACCIGEN for build-along demonstration. Not sourced from Oracle, customer, or employer confidential information.</t>
      </text>
    </comment>
    <comment ref="O16" authorId="0" shapeId="0">
      <text>
        <t>Synthetic prototype data created by ACCIGEN for build-along demonstration. Not sourced from Oracle, customer, or employer confidential information.</t>
      </text>
    </comment>
    <comment ref="P16" authorId="0" shapeId="0">
      <text>
        <t>Synthetic prototype data created by ACCIGEN for build-along demonstration. Not sourced from Oracle, customer, or employer confidential information.</t>
      </text>
    </comment>
    <comment ref="Q16" authorId="0" shapeId="0">
      <text>
        <t>Synthetic prototype data created by ACCIGEN for build-along demonstration. Not sourced from Oracle, customer, or employer confidential information.</t>
      </text>
    </comment>
    <comment ref="R16" authorId="0" shapeId="0">
      <text>
        <t>Synthetic prototype data created by ACCIGEN for build-along demonstration. Not sourced from Oracle, customer, or employer confidential information.</t>
      </text>
    </comment>
    <comment ref="S16" authorId="0" shapeId="0">
      <text>
        <t>Synthetic prototype data created by ACCIGEN for build-along demonstration. Not sourced from Oracle, customer, or employer confidential information.</t>
      </text>
    </comment>
    <comment ref="T16" authorId="0" shapeId="0">
      <text>
        <t>Synthetic prototype data created by ACCIGEN for build-along demonstration. Not sourced from Oracle, customer, or employer confidential information.</t>
      </text>
    </comment>
    <comment ref="U16" authorId="0" shapeId="0">
      <text>
        <t>Synthetic prototype data created by ACCIGEN for build-along demonstration. Not sourced from Oracle, customer, or employer confidential information.</t>
      </text>
    </comment>
    <comment ref="V16" authorId="0" shapeId="0">
      <text>
        <t>Synthetic prototype data created by ACCIGEN for build-along demonstration. Not sourced from Oracle, customer, or employer confidential information.</t>
      </text>
    </comment>
    <comment ref="W16" authorId="0" shapeId="0">
      <text>
        <t>Synthetic prototype data created by ACCIGEN for build-along demonstration. Not sourced from Oracle, customer, or employer confidential information.</t>
      </text>
    </comment>
    <comment ref="X16" authorId="0" shapeId="0">
      <text>
        <t>Synthetic prototype data created by ACCIGEN for build-along demonstration. Not sourced from Oracle, customer, or employer confidential information.</t>
      </text>
    </comment>
    <comment ref="Y16" authorId="0" shapeId="0">
      <text>
        <t>Synthetic prototype data created by ACCIGEN for build-along demonstration. Not sourced from Oracle, customer, or employer confidential information.</t>
      </text>
    </comment>
    <comment ref="Z16" authorId="0" shapeId="0">
      <text>
        <t>Synthetic prototype data created by ACCIGEN for build-along demonstration. Not sourced from Oracle, customer, or employer confidential information.</t>
      </text>
    </comment>
    <comment ref="AA16" authorId="0" shapeId="0">
      <text>
        <t>Synthetic prototype data created by ACCIGEN for build-along demonstration. Not sourced from Oracle, customer, or employer confidential information.</t>
      </text>
    </comment>
    <comment ref="AB16" authorId="0" shapeId="0">
      <text>
        <t>Synthetic prototype data created by ACCIGEN for build-along demonstration. Not sourced from Oracle, customer, or employer confidential information.</t>
      </text>
    </comment>
    <comment ref="AC16" authorId="0" shapeId="0">
      <text>
        <t>Synthetic prototype data created by ACCIGEN for build-along demonstration. Not sourced from Oracle, customer, or employer confidential information.</t>
      </text>
    </comment>
    <comment ref="AD16" authorId="0" shapeId="0">
      <text>
        <t>Synthetic prototype data created by ACCIGEN for build-along demonstration. Not sourced from Oracle, customer, or employer confidential information.</t>
      </text>
    </comment>
    <comment ref="AE16" authorId="0" shapeId="0">
      <text>
        <t>Synthetic prototype data created by ACCIGEN for build-along demonstration. Not sourced from Oracle, customer, or employer confidential information.</t>
      </text>
    </comment>
    <comment ref="AF16" authorId="0" shapeId="0">
      <text>
        <t>Synthetic prototype data created by ACCIGEN for build-along demonstration. Not sourced from Oracle, customer, or employer confidential information.</t>
      </text>
    </comment>
    <comment ref="A17" authorId="0" shapeId="0">
      <text>
        <t>Synthetic prototype data created by ACCIGEN for build-along demonstration. Not sourced from Oracle, customer, or employer confidential information.</t>
      </text>
    </comment>
    <comment ref="B17" authorId="0" shapeId="0">
      <text>
        <t>Synthetic prototype data created by ACCIGEN for build-along demonstration. Not sourced from Oracle, customer, or employer confidential information.</t>
      </text>
    </comment>
    <comment ref="C17" authorId="0" shapeId="0">
      <text>
        <t>Synthetic prototype data created by ACCIGEN for build-along demonstration. Not sourced from Oracle, customer, or employer confidential information.</t>
      </text>
    </comment>
    <comment ref="D17" authorId="0" shapeId="0">
      <text>
        <t>Synthetic prototype data created by ACCIGEN for build-along demonstration. Not sourced from Oracle, customer, or employer confidential information.</t>
      </text>
    </comment>
    <comment ref="E17" authorId="0" shapeId="0">
      <text>
        <t>Synthetic prototype data created by ACCIGEN for build-along demonstration. Not sourced from Oracle, customer, or employer confidential information.</t>
      </text>
    </comment>
    <comment ref="F17" authorId="0" shapeId="0">
      <text>
        <t>Synthetic prototype data created by ACCIGEN for build-along demonstration. Not sourced from Oracle, customer, or employer confidential information.</t>
      </text>
    </comment>
    <comment ref="G17" authorId="0" shapeId="0">
      <text>
        <t>Synthetic prototype data created by ACCIGEN for build-along demonstration. Not sourced from Oracle, customer, or employer confidential information.</t>
      </text>
    </comment>
    <comment ref="H17" authorId="0" shapeId="0">
      <text>
        <t>Synthetic prototype data created by ACCIGEN for build-along demonstration. Not sourced from Oracle, customer, or employer confidential information.</t>
      </text>
    </comment>
    <comment ref="I17" authorId="0" shapeId="0">
      <text>
        <t>Synthetic prototype data created by ACCIGEN for build-along demonstration. Not sourced from Oracle, customer, or employer confidential information.</t>
      </text>
    </comment>
    <comment ref="J17" authorId="0" shapeId="0">
      <text>
        <t>Synthetic prototype data created by ACCIGEN for build-along demonstration. Not sourced from Oracle, customer, or employer confidential information.</t>
      </text>
    </comment>
    <comment ref="K17" authorId="0" shapeId="0">
      <text>
        <t>Synthetic prototype data created by ACCIGEN for build-along demonstration. Not sourced from Oracle, customer, or employer confidential information.</t>
      </text>
    </comment>
    <comment ref="L17" authorId="0" shapeId="0">
      <text>
        <t>Synthetic prototype data created by ACCIGEN for build-along demonstration. Not sourced from Oracle, customer, or employer confidential information.</t>
      </text>
    </comment>
    <comment ref="M17" authorId="0" shapeId="0">
      <text>
        <t>Synthetic prototype data created by ACCIGEN for build-along demonstration. Not sourced from Oracle, customer, or employer confidential information.</t>
      </text>
    </comment>
    <comment ref="N17" authorId="0" shapeId="0">
      <text>
        <t>Synthetic prototype data created by ACCIGEN for build-along demonstration. Not sourced from Oracle, customer, or employer confidential information.</t>
      </text>
    </comment>
    <comment ref="O17" authorId="0" shapeId="0">
      <text>
        <t>Synthetic prototype data created by ACCIGEN for build-along demonstration. Not sourced from Oracle, customer, or employer confidential information.</t>
      </text>
    </comment>
    <comment ref="P17" authorId="0" shapeId="0">
      <text>
        <t>Synthetic prototype data created by ACCIGEN for build-along demonstration. Not sourced from Oracle, customer, or employer confidential information.</t>
      </text>
    </comment>
    <comment ref="Q17" authorId="0" shapeId="0">
      <text>
        <t>Synthetic prototype data created by ACCIGEN for build-along demonstration. Not sourced from Oracle, customer, or employer confidential information.</t>
      </text>
    </comment>
    <comment ref="R17" authorId="0" shapeId="0">
      <text>
        <t>Synthetic prototype data created by ACCIGEN for build-along demonstration. Not sourced from Oracle, customer, or employer confidential information.</t>
      </text>
    </comment>
    <comment ref="S17" authorId="0" shapeId="0">
      <text>
        <t>Synthetic prototype data created by ACCIGEN for build-along demonstration. Not sourced from Oracle, customer, or employer confidential information.</t>
      </text>
    </comment>
    <comment ref="T17" authorId="0" shapeId="0">
      <text>
        <t>Synthetic prototype data created by ACCIGEN for build-along demonstration. Not sourced from Oracle, customer, or employer confidential information.</t>
      </text>
    </comment>
    <comment ref="U17" authorId="0" shapeId="0">
      <text>
        <t>Synthetic prototype data created by ACCIGEN for build-along demonstration. Not sourced from Oracle, customer, or employer confidential information.</t>
      </text>
    </comment>
    <comment ref="V17" authorId="0" shapeId="0">
      <text>
        <t>Synthetic prototype data created by ACCIGEN for build-along demonstration. Not sourced from Oracle, customer, or employer confidential information.</t>
      </text>
    </comment>
    <comment ref="W17" authorId="0" shapeId="0">
      <text>
        <t>Synthetic prototype data created by ACCIGEN for build-along demonstration. Not sourced from Oracle, customer, or employer confidential information.</t>
      </text>
    </comment>
    <comment ref="X17" authorId="0" shapeId="0">
      <text>
        <t>Synthetic prototype data created by ACCIGEN for build-along demonstration. Not sourced from Oracle, customer, or employer confidential information.</t>
      </text>
    </comment>
    <comment ref="Y17" authorId="0" shapeId="0">
      <text>
        <t>Synthetic prototype data created by ACCIGEN for build-along demonstration. Not sourced from Oracle, customer, or employer confidential information.</t>
      </text>
    </comment>
    <comment ref="Z17" authorId="0" shapeId="0">
      <text>
        <t>Synthetic prototype data created by ACCIGEN for build-along demonstration. Not sourced from Oracle, customer, or employer confidential information.</t>
      </text>
    </comment>
    <comment ref="AA17" authorId="0" shapeId="0">
      <text>
        <t>Synthetic prototype data created by ACCIGEN for build-along demonstration. Not sourced from Oracle, customer, or employer confidential information.</t>
      </text>
    </comment>
    <comment ref="AB17" authorId="0" shapeId="0">
      <text>
        <t>Synthetic prototype data created by ACCIGEN for build-along demonstration. Not sourced from Oracle, customer, or employer confidential information.</t>
      </text>
    </comment>
    <comment ref="AC17" authorId="0" shapeId="0">
      <text>
        <t>Synthetic prototype data created by ACCIGEN for build-along demonstration. Not sourced from Oracle, customer, or employer confidential information.</t>
      </text>
    </comment>
    <comment ref="AD17" authorId="0" shapeId="0">
      <text>
        <t>Synthetic prototype data created by ACCIGEN for build-along demonstration. Not sourced from Oracle, customer, or employer confidential information.</t>
      </text>
    </comment>
    <comment ref="AE17" authorId="0" shapeId="0">
      <text>
        <t>Synthetic prototype data created by ACCIGEN for build-along demonstration. Not sourced from Oracle, customer, or employer confidential information.</t>
      </text>
    </comment>
    <comment ref="AF17" authorId="0" shapeId="0">
      <text>
        <t>Synthetic prototype data created by ACCIGEN for build-along demonstration. Not sourced from Oracle, customer, or employer confidential information.</t>
      </text>
    </comment>
    <comment ref="A18" authorId="0" shapeId="0">
      <text>
        <t>Synthetic prototype data created by ACCIGEN for build-along demonstration. Not sourced from Oracle, customer, or employer confidential information.</t>
      </text>
    </comment>
    <comment ref="B18" authorId="0" shapeId="0">
      <text>
        <t>Synthetic prototype data created by ACCIGEN for build-along demonstration. Not sourced from Oracle, customer, or employer confidential information.</t>
      </text>
    </comment>
    <comment ref="C18" authorId="0" shapeId="0">
      <text>
        <t>Synthetic prototype data created by ACCIGEN for build-along demonstration. Not sourced from Oracle, customer, or employer confidential information.</t>
      </text>
    </comment>
    <comment ref="D18" authorId="0" shapeId="0">
      <text>
        <t>Synthetic prototype data created by ACCIGEN for build-along demonstration. Not sourced from Oracle, customer, or employer confidential information.</t>
      </text>
    </comment>
    <comment ref="E18" authorId="0" shapeId="0">
      <text>
        <t>Synthetic prototype data created by ACCIGEN for build-along demonstration. Not sourced from Oracle, customer, or employer confidential information.</t>
      </text>
    </comment>
    <comment ref="F18" authorId="0" shapeId="0">
      <text>
        <t>Synthetic prototype data created by ACCIGEN for build-along demonstration. Not sourced from Oracle, customer, or employer confidential information.</t>
      </text>
    </comment>
    <comment ref="G18" authorId="0" shapeId="0">
      <text>
        <t>Synthetic prototype data created by ACCIGEN for build-along demonstration. Not sourced from Oracle, customer, or employer confidential information.</t>
      </text>
    </comment>
    <comment ref="H18" authorId="0" shapeId="0">
      <text>
        <t>Synthetic prototype data created by ACCIGEN for build-along demonstration. Not sourced from Oracle, customer, or employer confidential information.</t>
      </text>
    </comment>
    <comment ref="I18" authorId="0" shapeId="0">
      <text>
        <t>Synthetic prototype data created by ACCIGEN for build-along demonstration. Not sourced from Oracle, customer, or employer confidential information.</t>
      </text>
    </comment>
    <comment ref="J18" authorId="0" shapeId="0">
      <text>
        <t>Synthetic prototype data created by ACCIGEN for build-along demonstration. Not sourced from Oracle, customer, or employer confidential information.</t>
      </text>
    </comment>
    <comment ref="K18" authorId="0" shapeId="0">
      <text>
        <t>Synthetic prototype data created by ACCIGEN for build-along demonstration. Not sourced from Oracle, customer, or employer confidential information.</t>
      </text>
    </comment>
    <comment ref="L18" authorId="0" shapeId="0">
      <text>
        <t>Synthetic prototype data created by ACCIGEN for build-along demonstration. Not sourced from Oracle, customer, or employer confidential information.</t>
      </text>
    </comment>
    <comment ref="M18" authorId="0" shapeId="0">
      <text>
        <t>Synthetic prototype data created by ACCIGEN for build-along demonstration. Not sourced from Oracle, customer, or employer confidential information.</t>
      </text>
    </comment>
    <comment ref="N18" authorId="0" shapeId="0">
      <text>
        <t>Synthetic prototype data created by ACCIGEN for build-along demonstration. Not sourced from Oracle, customer, or employer confidential information.</t>
      </text>
    </comment>
    <comment ref="O18" authorId="0" shapeId="0">
      <text>
        <t>Synthetic prototype data created by ACCIGEN for build-along demonstration. Not sourced from Oracle, customer, or employer confidential information.</t>
      </text>
    </comment>
    <comment ref="P18" authorId="0" shapeId="0">
      <text>
        <t>Synthetic prototype data created by ACCIGEN for build-along demonstration. Not sourced from Oracle, customer, or employer confidential information.</t>
      </text>
    </comment>
    <comment ref="Q18" authorId="0" shapeId="0">
      <text>
        <t>Synthetic prototype data created by ACCIGEN for build-along demonstration. Not sourced from Oracle, customer, or employer confidential information.</t>
      </text>
    </comment>
    <comment ref="R18" authorId="0" shapeId="0">
      <text>
        <t>Synthetic prototype data created by ACCIGEN for build-along demonstration. Not sourced from Oracle, customer, or employer confidential information.</t>
      </text>
    </comment>
    <comment ref="S18" authorId="0" shapeId="0">
      <text>
        <t>Synthetic prototype data created by ACCIGEN for build-along demonstration. Not sourced from Oracle, customer, or employer confidential information.</t>
      </text>
    </comment>
    <comment ref="T18" authorId="0" shapeId="0">
      <text>
        <t>Synthetic prototype data created by ACCIGEN for build-along demonstration. Not sourced from Oracle, customer, or employer confidential information.</t>
      </text>
    </comment>
    <comment ref="U18" authorId="0" shapeId="0">
      <text>
        <t>Synthetic prototype data created by ACCIGEN for build-along demonstration. Not sourced from Oracle, customer, or employer confidential information.</t>
      </text>
    </comment>
    <comment ref="V18" authorId="0" shapeId="0">
      <text>
        <t>Synthetic prototype data created by ACCIGEN for build-along demonstration. Not sourced from Oracle, customer, or employer confidential information.</t>
      </text>
    </comment>
    <comment ref="W18" authorId="0" shapeId="0">
      <text>
        <t>Synthetic prototype data created by ACCIGEN for build-along demonstration. Not sourced from Oracle, customer, or employer confidential information.</t>
      </text>
    </comment>
    <comment ref="X18" authorId="0" shapeId="0">
      <text>
        <t>Synthetic prototype data created by ACCIGEN for build-along demonstration. Not sourced from Oracle, customer, or employer confidential information.</t>
      </text>
    </comment>
    <comment ref="Y18" authorId="0" shapeId="0">
      <text>
        <t>Synthetic prototype data created by ACCIGEN for build-along demonstration. Not sourced from Oracle, customer, or employer confidential information.</t>
      </text>
    </comment>
    <comment ref="Z18" authorId="0" shapeId="0">
      <text>
        <t>Synthetic prototype data created by ACCIGEN for build-along demonstration. Not sourced from Oracle, customer, or employer confidential information.</t>
      </text>
    </comment>
    <comment ref="AA18" authorId="0" shapeId="0">
      <text>
        <t>Synthetic prototype data created by ACCIGEN for build-along demonstration. Not sourced from Oracle, customer, or employer confidential information.</t>
      </text>
    </comment>
    <comment ref="AB18" authorId="0" shapeId="0">
      <text>
        <t>Synthetic prototype data created by ACCIGEN for build-along demonstration. Not sourced from Oracle, customer, or employer confidential information.</t>
      </text>
    </comment>
    <comment ref="AC18" authorId="0" shapeId="0">
      <text>
        <t>Synthetic prototype data created by ACCIGEN for build-along demonstration. Not sourced from Oracle, customer, or employer confidential information.</t>
      </text>
    </comment>
    <comment ref="AD18" authorId="0" shapeId="0">
      <text>
        <t>Synthetic prototype data created by ACCIGEN for build-along demonstration. Not sourced from Oracle, customer, or employer confidential information.</t>
      </text>
    </comment>
    <comment ref="AE18" authorId="0" shapeId="0">
      <text>
        <t>Synthetic prototype data created by ACCIGEN for build-along demonstration. Not sourced from Oracle, customer, or employer confidential information.</t>
      </text>
    </comment>
    <comment ref="AF18" authorId="0" shapeId="0">
      <text>
        <t>Synthetic prototype data created by ACCIGEN for build-along demonstration. Not sourced from Oracle, customer, or employer confidential information.</t>
      </text>
    </comment>
    <comment ref="A19" authorId="0" shapeId="0">
      <text>
        <t>Synthetic prototype data created by ACCIGEN for build-along demonstration. Not sourced from Oracle, customer, or employer confidential information.</t>
      </text>
    </comment>
    <comment ref="B19" authorId="0" shapeId="0">
      <text>
        <t>Synthetic prototype data created by ACCIGEN for build-along demonstration. Not sourced from Oracle, customer, or employer confidential information.</t>
      </text>
    </comment>
    <comment ref="C19" authorId="0" shapeId="0">
      <text>
        <t>Synthetic prototype data created by ACCIGEN for build-along demonstration. Not sourced from Oracle, customer, or employer confidential information.</t>
      </text>
    </comment>
    <comment ref="D19" authorId="0" shapeId="0">
      <text>
        <t>Synthetic prototype data created by ACCIGEN for build-along demonstration. Not sourced from Oracle, customer, or employer confidential information.</t>
      </text>
    </comment>
    <comment ref="E19" authorId="0" shapeId="0">
      <text>
        <t>Synthetic prototype data created by ACCIGEN for build-along demonstration. Not sourced from Oracle, customer, or employer confidential information.</t>
      </text>
    </comment>
    <comment ref="F19" authorId="0" shapeId="0">
      <text>
        <t>Synthetic prototype data created by ACCIGEN for build-along demonstration. Not sourced from Oracle, customer, or employer confidential information.</t>
      </text>
    </comment>
    <comment ref="G19" authorId="0" shapeId="0">
      <text>
        <t>Synthetic prototype data created by ACCIGEN for build-along demonstration. Not sourced from Oracle, customer, or employer confidential information.</t>
      </text>
    </comment>
    <comment ref="H19" authorId="0" shapeId="0">
      <text>
        <t>Synthetic prototype data created by ACCIGEN for build-along demonstration. Not sourced from Oracle, customer, or employer confidential information.</t>
      </text>
    </comment>
    <comment ref="I19" authorId="0" shapeId="0">
      <text>
        <t>Synthetic prototype data created by ACCIGEN for build-along demonstration. Not sourced from Oracle, customer, or employer confidential information.</t>
      </text>
    </comment>
    <comment ref="J19" authorId="0" shapeId="0">
      <text>
        <t>Synthetic prototype data created by ACCIGEN for build-along demonstration. Not sourced from Oracle, customer, or employer confidential information.</t>
      </text>
    </comment>
    <comment ref="K19" authorId="0" shapeId="0">
      <text>
        <t>Synthetic prototype data created by ACCIGEN for build-along demonstration. Not sourced from Oracle, customer, or employer confidential information.</t>
      </text>
    </comment>
    <comment ref="L19" authorId="0" shapeId="0">
      <text>
        <t>Synthetic prototype data created by ACCIGEN for build-along demonstration. Not sourced from Oracle, customer, or employer confidential information.</t>
      </text>
    </comment>
    <comment ref="M19" authorId="0" shapeId="0">
      <text>
        <t>Synthetic prototype data created by ACCIGEN for build-along demonstration. Not sourced from Oracle, customer, or employer confidential information.</t>
      </text>
    </comment>
    <comment ref="N19" authorId="0" shapeId="0">
      <text>
        <t>Synthetic prototype data created by ACCIGEN for build-along demonstration. Not sourced from Oracle, customer, or employer confidential information.</t>
      </text>
    </comment>
    <comment ref="O19" authorId="0" shapeId="0">
      <text>
        <t>Synthetic prototype data created by ACCIGEN for build-along demonstration. Not sourced from Oracle, customer, or employer confidential information.</t>
      </text>
    </comment>
    <comment ref="P19" authorId="0" shapeId="0">
      <text>
        <t>Synthetic prototype data created by ACCIGEN for build-along demonstration. Not sourced from Oracle, customer, or employer confidential information.</t>
      </text>
    </comment>
    <comment ref="Q19" authorId="0" shapeId="0">
      <text>
        <t>Synthetic prototype data created by ACCIGEN for build-along demonstration. Not sourced from Oracle, customer, or employer confidential information.</t>
      </text>
    </comment>
    <comment ref="R19" authorId="0" shapeId="0">
      <text>
        <t>Synthetic prototype data created by ACCIGEN for build-along demonstration. Not sourced from Oracle, customer, or employer confidential information.</t>
      </text>
    </comment>
    <comment ref="S19" authorId="0" shapeId="0">
      <text>
        <t>Synthetic prototype data created by ACCIGEN for build-along demonstration. Not sourced from Oracle, customer, or employer confidential information.</t>
      </text>
    </comment>
    <comment ref="T19" authorId="0" shapeId="0">
      <text>
        <t>Synthetic prototype data created by ACCIGEN for build-along demonstration. Not sourced from Oracle, customer, or employer confidential information.</t>
      </text>
    </comment>
    <comment ref="U19" authorId="0" shapeId="0">
      <text>
        <t>Synthetic prototype data created by ACCIGEN for build-along demonstration. Not sourced from Oracle, customer, or employer confidential information.</t>
      </text>
    </comment>
    <comment ref="V19" authorId="0" shapeId="0">
      <text>
        <t>Synthetic prototype data created by ACCIGEN for build-along demonstration. Not sourced from Oracle, customer, or employer confidential information.</t>
      </text>
    </comment>
    <comment ref="W19" authorId="0" shapeId="0">
      <text>
        <t>Synthetic prototype data created by ACCIGEN for build-along demonstration. Not sourced from Oracle, customer, or employer confidential information.</t>
      </text>
    </comment>
    <comment ref="X19" authorId="0" shapeId="0">
      <text>
        <t>Synthetic prototype data created by ACCIGEN for build-along demonstration. Not sourced from Oracle, customer, or employer confidential information.</t>
      </text>
    </comment>
    <comment ref="Y19" authorId="0" shapeId="0">
      <text>
        <t>Synthetic prototype data created by ACCIGEN for build-along demonstration. Not sourced from Oracle, customer, or employer confidential information.</t>
      </text>
    </comment>
    <comment ref="Z19" authorId="0" shapeId="0">
      <text>
        <t>Synthetic prototype data created by ACCIGEN for build-along demonstration. Not sourced from Oracle, customer, or employer confidential information.</t>
      </text>
    </comment>
    <comment ref="AA19" authorId="0" shapeId="0">
      <text>
        <t>Synthetic prototype data created by ACCIGEN for build-along demonstration. Not sourced from Oracle, customer, or employer confidential information.</t>
      </text>
    </comment>
    <comment ref="AB19" authorId="0" shapeId="0">
      <text>
        <t>Synthetic prototype data created by ACCIGEN for build-along demonstration. Not sourced from Oracle, customer, or employer confidential information.</t>
      </text>
    </comment>
    <comment ref="AC19" authorId="0" shapeId="0">
      <text>
        <t>Synthetic prototype data created by ACCIGEN for build-along demonstration. Not sourced from Oracle, customer, or employer confidential information.</t>
      </text>
    </comment>
    <comment ref="AD19" authorId="0" shapeId="0">
      <text>
        <t>Synthetic prototype data created by ACCIGEN for build-along demonstration. Not sourced from Oracle, customer, or employer confidential information.</t>
      </text>
    </comment>
    <comment ref="AE19" authorId="0" shapeId="0">
      <text>
        <t>Synthetic prototype data created by ACCIGEN for build-along demonstration. Not sourced from Oracle, customer, or employer confidential information.</t>
      </text>
    </comment>
    <comment ref="AF19" authorId="0" shapeId="0">
      <text>
        <t>Synthetic prototype data created by ACCIGEN for build-along demonstration. Not sourced from Oracle, customer, or employer confidential information.</t>
      </text>
    </comment>
    <comment ref="A20" authorId="0" shapeId="0">
      <text>
        <t>Synthetic prototype data created by ACCIGEN for build-along demonstration. Not sourced from Oracle, customer, or employer confidential information.</t>
      </text>
    </comment>
    <comment ref="B20" authorId="0" shapeId="0">
      <text>
        <t>Synthetic prototype data created by ACCIGEN for build-along demonstration. Not sourced from Oracle, customer, or employer confidential information.</t>
      </text>
    </comment>
    <comment ref="C20" authorId="0" shapeId="0">
      <text>
        <t>Synthetic prototype data created by ACCIGEN for build-along demonstration. Not sourced from Oracle, customer, or employer confidential information.</t>
      </text>
    </comment>
    <comment ref="D20" authorId="0" shapeId="0">
      <text>
        <t>Synthetic prototype data created by ACCIGEN for build-along demonstration. Not sourced from Oracle, customer, or employer confidential information.</t>
      </text>
    </comment>
    <comment ref="E20" authorId="0" shapeId="0">
      <text>
        <t>Synthetic prototype data created by ACCIGEN for build-along demonstration. Not sourced from Oracle, customer, or employer confidential information.</t>
      </text>
    </comment>
    <comment ref="F20" authorId="0" shapeId="0">
      <text>
        <t>Synthetic prototype data created by ACCIGEN for build-along demonstration. Not sourced from Oracle, customer, or employer confidential information.</t>
      </text>
    </comment>
    <comment ref="G20" authorId="0" shapeId="0">
      <text>
        <t>Synthetic prototype data created by ACCIGEN for build-along demonstration. Not sourced from Oracle, customer, or employer confidential information.</t>
      </text>
    </comment>
    <comment ref="H20" authorId="0" shapeId="0">
      <text>
        <t>Synthetic prototype data created by ACCIGEN for build-along demonstration. Not sourced from Oracle, customer, or employer confidential information.</t>
      </text>
    </comment>
    <comment ref="I20" authorId="0" shapeId="0">
      <text>
        <t>Synthetic prototype data created by ACCIGEN for build-along demonstration. Not sourced from Oracle, customer, or employer confidential information.</t>
      </text>
    </comment>
    <comment ref="J20" authorId="0" shapeId="0">
      <text>
        <t>Synthetic prototype data created by ACCIGEN for build-along demonstration. Not sourced from Oracle, customer, or employer confidential information.</t>
      </text>
    </comment>
    <comment ref="K20" authorId="0" shapeId="0">
      <text>
        <t>Synthetic prototype data created by ACCIGEN for build-along demonstration. Not sourced from Oracle, customer, or employer confidential information.</t>
      </text>
    </comment>
    <comment ref="L20" authorId="0" shapeId="0">
      <text>
        <t>Synthetic prototype data created by ACCIGEN for build-along demonstration. Not sourced from Oracle, customer, or employer confidential information.</t>
      </text>
    </comment>
    <comment ref="M20" authorId="0" shapeId="0">
      <text>
        <t>Synthetic prototype data created by ACCIGEN for build-along demonstration. Not sourced from Oracle, customer, or employer confidential information.</t>
      </text>
    </comment>
    <comment ref="N20" authorId="0" shapeId="0">
      <text>
        <t>Synthetic prototype data created by ACCIGEN for build-along demonstration. Not sourced from Oracle, customer, or employer confidential information.</t>
      </text>
    </comment>
    <comment ref="O20" authorId="0" shapeId="0">
      <text>
        <t>Synthetic prototype data created by ACCIGEN for build-along demonstration. Not sourced from Oracle, customer, or employer confidential information.</t>
      </text>
    </comment>
    <comment ref="P20" authorId="0" shapeId="0">
      <text>
        <t>Synthetic prototype data created by ACCIGEN for build-along demonstration. Not sourced from Oracle, customer, or employer confidential information.</t>
      </text>
    </comment>
    <comment ref="Q20" authorId="0" shapeId="0">
      <text>
        <t>Synthetic prototype data created by ACCIGEN for build-along demonstration. Not sourced from Oracle, customer, or employer confidential information.</t>
      </text>
    </comment>
    <comment ref="R20" authorId="0" shapeId="0">
      <text>
        <t>Synthetic prototype data created by ACCIGEN for build-along demonstration. Not sourced from Oracle, customer, or employer confidential information.</t>
      </text>
    </comment>
    <comment ref="S20" authorId="0" shapeId="0">
      <text>
        <t>Synthetic prototype data created by ACCIGEN for build-along demonstration. Not sourced from Oracle, customer, or employer confidential information.</t>
      </text>
    </comment>
    <comment ref="T20" authorId="0" shapeId="0">
      <text>
        <t>Synthetic prototype data created by ACCIGEN for build-along demonstration. Not sourced from Oracle, customer, or employer confidential information.</t>
      </text>
    </comment>
    <comment ref="U20" authorId="0" shapeId="0">
      <text>
        <t>Synthetic prototype data created by ACCIGEN for build-along demonstration. Not sourced from Oracle, customer, or employer confidential information.</t>
      </text>
    </comment>
    <comment ref="V20" authorId="0" shapeId="0">
      <text>
        <t>Synthetic prototype data created by ACCIGEN for build-along demonstration. Not sourced from Oracle, customer, or employer confidential information.</t>
      </text>
    </comment>
    <comment ref="W20" authorId="0" shapeId="0">
      <text>
        <t>Synthetic prototype data created by ACCIGEN for build-along demonstration. Not sourced from Oracle, customer, or employer confidential information.</t>
      </text>
    </comment>
    <comment ref="X20" authorId="0" shapeId="0">
      <text>
        <t>Synthetic prototype data created by ACCIGEN for build-along demonstration. Not sourced from Oracle, customer, or employer confidential information.</t>
      </text>
    </comment>
    <comment ref="Y20" authorId="0" shapeId="0">
      <text>
        <t>Synthetic prototype data created by ACCIGEN for build-along demonstration. Not sourced from Oracle, customer, or employer confidential information.</t>
      </text>
    </comment>
    <comment ref="Z20" authorId="0" shapeId="0">
      <text>
        <t>Synthetic prototype data created by ACCIGEN for build-along demonstration. Not sourced from Oracle, customer, or employer confidential information.</t>
      </text>
    </comment>
    <comment ref="AA20" authorId="0" shapeId="0">
      <text>
        <t>Synthetic prototype data created by ACCIGEN for build-along demonstration. Not sourced from Oracle, customer, or employer confidential information.</t>
      </text>
    </comment>
    <comment ref="AB20" authorId="0" shapeId="0">
      <text>
        <t>Synthetic prototype data created by ACCIGEN for build-along demonstration. Not sourced from Oracle, customer, or employer confidential information.</t>
      </text>
    </comment>
    <comment ref="AC20" authorId="0" shapeId="0">
      <text>
        <t>Synthetic prototype data created by ACCIGEN for build-along demonstration. Not sourced from Oracle, customer, or employer confidential information.</t>
      </text>
    </comment>
    <comment ref="AD20" authorId="0" shapeId="0">
      <text>
        <t>Synthetic prototype data created by ACCIGEN for build-along demonstration. Not sourced from Oracle, customer, or employer confidential information.</t>
      </text>
    </comment>
    <comment ref="AE20" authorId="0" shapeId="0">
      <text>
        <t>Synthetic prototype data created by ACCIGEN for build-along demonstration. Not sourced from Oracle, customer, or employer confidential information.</t>
      </text>
    </comment>
    <comment ref="AF20" authorId="0" shapeId="0">
      <text>
        <t>Synthetic prototype data created by ACCIGEN for build-along demonstration. Not sourced from Oracle, customer, or employer confidential information.</t>
      </text>
    </comment>
    <comment ref="A21" authorId="0" shapeId="0">
      <text>
        <t>Synthetic prototype data created by ACCIGEN for build-along demonstration. Not sourced from Oracle, customer, or employer confidential information.</t>
      </text>
    </comment>
    <comment ref="B21" authorId="0" shapeId="0">
      <text>
        <t>Synthetic prototype data created by ACCIGEN for build-along demonstration. Not sourced from Oracle, customer, or employer confidential information.</t>
      </text>
    </comment>
    <comment ref="C21" authorId="0" shapeId="0">
      <text>
        <t>Synthetic prototype data created by ACCIGEN for build-along demonstration. Not sourced from Oracle, customer, or employer confidential information.</t>
      </text>
    </comment>
    <comment ref="D21" authorId="0" shapeId="0">
      <text>
        <t>Synthetic prototype data created by ACCIGEN for build-along demonstration. Not sourced from Oracle, customer, or employer confidential information.</t>
      </text>
    </comment>
    <comment ref="E21" authorId="0" shapeId="0">
      <text>
        <t>Synthetic prototype data created by ACCIGEN for build-along demonstration. Not sourced from Oracle, customer, or employer confidential information.</t>
      </text>
    </comment>
    <comment ref="F21" authorId="0" shapeId="0">
      <text>
        <t>Synthetic prototype data created by ACCIGEN for build-along demonstration. Not sourced from Oracle, customer, or employer confidential information.</t>
      </text>
    </comment>
    <comment ref="G21" authorId="0" shapeId="0">
      <text>
        <t>Synthetic prototype data created by ACCIGEN for build-along demonstration. Not sourced from Oracle, customer, or employer confidential information.</t>
      </text>
    </comment>
    <comment ref="H21" authorId="0" shapeId="0">
      <text>
        <t>Synthetic prototype data created by ACCIGEN for build-along demonstration. Not sourced from Oracle, customer, or employer confidential information.</t>
      </text>
    </comment>
    <comment ref="I21" authorId="0" shapeId="0">
      <text>
        <t>Synthetic prototype data created by ACCIGEN for build-along demonstration. Not sourced from Oracle, customer, or employer confidential information.</t>
      </text>
    </comment>
    <comment ref="J21" authorId="0" shapeId="0">
      <text>
        <t>Synthetic prototype data created by ACCIGEN for build-along demonstration. Not sourced from Oracle, customer, or employer confidential information.</t>
      </text>
    </comment>
    <comment ref="K21" authorId="0" shapeId="0">
      <text>
        <t>Synthetic prototype data created by ACCIGEN for build-along demonstration. Not sourced from Oracle, customer, or employer confidential information.</t>
      </text>
    </comment>
    <comment ref="L21" authorId="0" shapeId="0">
      <text>
        <t>Synthetic prototype data created by ACCIGEN for build-along demonstration. Not sourced from Oracle, customer, or employer confidential information.</t>
      </text>
    </comment>
    <comment ref="M21" authorId="0" shapeId="0">
      <text>
        <t>Synthetic prototype data created by ACCIGEN for build-along demonstration. Not sourced from Oracle, customer, or employer confidential information.</t>
      </text>
    </comment>
    <comment ref="N21" authorId="0" shapeId="0">
      <text>
        <t>Synthetic prototype data created by ACCIGEN for build-along demonstration. Not sourced from Oracle, customer, or employer confidential information.</t>
      </text>
    </comment>
    <comment ref="O21" authorId="0" shapeId="0">
      <text>
        <t>Synthetic prototype data created by ACCIGEN for build-along demonstration. Not sourced from Oracle, customer, or employer confidential information.</t>
      </text>
    </comment>
    <comment ref="P21" authorId="0" shapeId="0">
      <text>
        <t>Synthetic prototype data created by ACCIGEN for build-along demonstration. Not sourced from Oracle, customer, or employer confidential information.</t>
      </text>
    </comment>
    <comment ref="Q21" authorId="0" shapeId="0">
      <text>
        <t>Synthetic prototype data created by ACCIGEN for build-along demonstration. Not sourced from Oracle, customer, or employer confidential information.</t>
      </text>
    </comment>
    <comment ref="R21" authorId="0" shapeId="0">
      <text>
        <t>Synthetic prototype data created by ACCIGEN for build-along demonstration. Not sourced from Oracle, customer, or employer confidential information.</t>
      </text>
    </comment>
    <comment ref="S21" authorId="0" shapeId="0">
      <text>
        <t>Synthetic prototype data created by ACCIGEN for build-along demonstration. Not sourced from Oracle, customer, or employer confidential information.</t>
      </text>
    </comment>
    <comment ref="T21" authorId="0" shapeId="0">
      <text>
        <t>Synthetic prototype data created by ACCIGEN for build-along demonstration. Not sourced from Oracle, customer, or employer confidential information.</t>
      </text>
    </comment>
    <comment ref="U21" authorId="0" shapeId="0">
      <text>
        <t>Synthetic prototype data created by ACCIGEN for build-along demonstration. Not sourced from Oracle, customer, or employer confidential information.</t>
      </text>
    </comment>
    <comment ref="V21" authorId="0" shapeId="0">
      <text>
        <t>Synthetic prototype data created by ACCIGEN for build-along demonstration. Not sourced from Oracle, customer, or employer confidential information.</t>
      </text>
    </comment>
    <comment ref="W21" authorId="0" shapeId="0">
      <text>
        <t>Synthetic prototype data created by ACCIGEN for build-along demonstration. Not sourced from Oracle, customer, or employer confidential information.</t>
      </text>
    </comment>
    <comment ref="X21" authorId="0" shapeId="0">
      <text>
        <t>Synthetic prototype data created by ACCIGEN for build-along demonstration. Not sourced from Oracle, customer, or employer confidential information.</t>
      </text>
    </comment>
    <comment ref="Y21" authorId="0" shapeId="0">
      <text>
        <t>Synthetic prototype data created by ACCIGEN for build-along demonstration. Not sourced from Oracle, customer, or employer confidential information.</t>
      </text>
    </comment>
    <comment ref="Z21" authorId="0" shapeId="0">
      <text>
        <t>Synthetic prototype data created by ACCIGEN for build-along demonstration. Not sourced from Oracle, customer, or employer confidential information.</t>
      </text>
    </comment>
    <comment ref="AA21" authorId="0" shapeId="0">
      <text>
        <t>Synthetic prototype data created by ACCIGEN for build-along demonstration. Not sourced from Oracle, customer, or employer confidential information.</t>
      </text>
    </comment>
    <comment ref="AB21" authorId="0" shapeId="0">
      <text>
        <t>Synthetic prototype data created by ACCIGEN for build-along demonstration. Not sourced from Oracle, customer, or employer confidential information.</t>
      </text>
    </comment>
    <comment ref="AC21" authorId="0" shapeId="0">
      <text>
        <t>Synthetic prototype data created by ACCIGEN for build-along demonstration. Not sourced from Oracle, customer, or employer confidential information.</t>
      </text>
    </comment>
    <comment ref="AD21" authorId="0" shapeId="0">
      <text>
        <t>Synthetic prototype data created by ACCIGEN for build-along demonstration. Not sourced from Oracle, customer, or employer confidential information.</t>
      </text>
    </comment>
    <comment ref="AE21" authorId="0" shapeId="0">
      <text>
        <t>Synthetic prototype data created by ACCIGEN for build-along demonstration. Not sourced from Oracle, customer, or employer confidential information.</t>
      </text>
    </comment>
    <comment ref="AF21" authorId="0" shapeId="0">
      <text>
        <t>Synthetic prototype data created by ACCIGEN for build-along demonstration. Not sourced from Oracle, customer, or employer confidential information.</t>
      </text>
    </comment>
  </commentList>
</comments>
</file>

<file path=xl/comments/comment2.xml><?xml version="1.0" encoding="utf-8"?>
<comments xmlns="http://schemas.openxmlformats.org/spreadsheetml/2006/main">
  <authors>
    <author>ACCIGEN</author>
  </authors>
  <commentList>
    <comment ref="B2" authorId="0" shapeId="0">
      <text>
        <t>Prototype control selected by ACCIGEN. Tune during testing.</t>
      </text>
    </comment>
    <comment ref="B3" authorId="0" shapeId="0">
      <text>
        <t>Prototype control selected by ACCIGEN. Tune during testing.</t>
      </text>
    </comment>
    <comment ref="B4" authorId="0" shapeId="0">
      <text>
        <t>Prototype control selected by ACCIGEN. Tune during testing.</t>
      </text>
    </comment>
    <comment ref="B5" authorId="0" shapeId="0">
      <text>
        <t>Prototype control selected by ACCIGEN. Tune during testing.</t>
      </text>
    </comment>
    <comment ref="B6" authorId="0" shapeId="0">
      <text>
        <t>Prototype control selected by ACCIGEN. Tune during testing.</t>
      </text>
    </comment>
    <comment ref="B7" authorId="0" shapeId="0">
      <text>
        <t>Prototype control selected by ACCIGEN. Tune during testing.</t>
      </text>
    </comment>
    <comment ref="B8" authorId="0" shapeId="0">
      <text>
        <t>Prototype control selected by ACCIGEN. Tune during testing.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ACCIGEN — Project Portfolio Command Assistant | Prototype v1</t>
        </is>
      </c>
    </row>
    <row r="3">
      <c r="A3" s="2" t="inlineStr">
        <is>
          <t>Purpose</t>
        </is>
      </c>
      <c r="B3" s="3" t="inlineStr">
        <is>
          <t>Create a synthetic project portfolio that lets a Project Financial Analyst or Business Analyst test command-based questions without navigating project-by-project.</t>
        </is>
      </c>
    </row>
    <row r="4">
      <c r="A4" s="2" t="inlineStr">
        <is>
          <t>Core concept</t>
        </is>
      </c>
      <c r="B4" s="3" t="inlineStr">
        <is>
          <t>ERP/System data → portfolio data layer → AI interpretation → priority → recommended action</t>
        </is>
      </c>
    </row>
    <row r="5">
      <c r="A5" s="2" t="inlineStr">
        <is>
          <t>Primary personas</t>
        </is>
      </c>
      <c r="B5" s="3" t="inlineStr">
        <is>
          <t>Project Financial Analyst; Business Analyst</t>
        </is>
      </c>
    </row>
    <row r="6">
      <c r="A6" s="2" t="inlineStr">
        <is>
          <t>Prototype scope</t>
        </is>
      </c>
      <c r="B6" s="3" t="inlineStr">
        <is>
          <t>20 synthetic projects; 10 locked command questions; attention scoring across milestone, billing, revenue, time, acceptance and margin signals.</t>
        </is>
      </c>
    </row>
    <row r="7">
      <c r="A7" s="2" t="inlineStr">
        <is>
          <t>Data policy</t>
        </is>
      </c>
      <c r="B7" s="3" t="inlineStr">
        <is>
          <t>All project data is synthetic and created for ACCIGEN. No Oracle, customer, or employer confidential information is used.</t>
        </is>
      </c>
    </row>
    <row r="8">
      <c r="B8" s="3" t="n"/>
    </row>
    <row r="9">
      <c r="A9" s="2" t="inlineStr">
        <is>
          <t>Next build step</t>
        </is>
      </c>
      <c r="B9" s="3" t="inlineStr">
        <is>
          <t>Build the command logic / agent behavior that converts each natural-language question into a deterministic query and a concise answer.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1" customWidth="1" min="3" max="3"/>
    <col width="18" customWidth="1" min="4" max="4"/>
    <col width="12" customWidth="1" min="5" max="5"/>
    <col width="12" customWidth="1" min="6" max="6"/>
    <col width="12" customWidth="1" min="7" max="7"/>
    <col width="17" customWidth="1" min="8" max="8"/>
    <col width="17" customWidth="1" min="9" max="9"/>
    <col width="17" customWidth="1" min="10" max="10"/>
    <col width="18" customWidth="1" min="11" max="11"/>
    <col width="22" customWidth="1" min="12" max="12"/>
    <col width="20" customWidth="1" min="13" max="13"/>
    <col width="14" customWidth="1" min="14" max="14"/>
    <col width="16" customWidth="1" min="15" max="15"/>
    <col width="24" customWidth="1" min="16" max="16"/>
    <col width="16" customWidth="1" min="17" max="17"/>
    <col width="16" customWidth="1" min="18" max="18"/>
    <col width="18" customWidth="1" min="19" max="19"/>
    <col width="16" customWidth="1" min="20" max="20"/>
    <col width="16" customWidth="1" min="21" max="21"/>
    <col width="20" customWidth="1" min="22" max="22"/>
    <col width="19" customWidth="1" min="23" max="23"/>
    <col width="16" customWidth="1" min="24" max="24"/>
    <col width="14" customWidth="1" min="25" max="25"/>
    <col width="15" customWidth="1" min="26" max="26"/>
    <col width="13" customWidth="1" min="27" max="27"/>
    <col width="24" customWidth="1" min="28" max="28"/>
    <col width="22" customWidth="1" min="29" max="29"/>
    <col width="24" customWidth="1" min="30" max="30"/>
    <col width="18" customWidth="1" min="31" max="31"/>
    <col width="18" customWidth="1" min="32" max="32"/>
    <col width="16" customWidth="1" min="33" max="33"/>
    <col width="18" customWidth="1" min="34" max="34"/>
    <col width="17" customWidth="1" min="35" max="35"/>
    <col width="17" customWidth="1" min="36" max="36"/>
    <col width="15" customWidth="1" min="37" max="37"/>
    <col width="20" customWidth="1" min="38" max="38"/>
    <col width="17" customWidth="1" min="39" max="39"/>
    <col width="20" customWidth="1" min="40" max="40"/>
    <col width="14" customWidth="1" min="41" max="41"/>
  </cols>
  <sheetData>
    <row r="1" ht="36" customHeight="1">
      <c r="A1" s="4" t="inlineStr">
        <is>
          <t>Project ID</t>
        </is>
      </c>
      <c r="B1" s="4" t="inlineStr">
        <is>
          <t>Project Name</t>
        </is>
      </c>
      <c r="C1" s="4" t="inlineStr">
        <is>
          <t>Customer</t>
        </is>
      </c>
      <c r="D1" s="4" t="inlineStr">
        <is>
          <t>Project Manager</t>
        </is>
      </c>
      <c r="E1" s="4" t="inlineStr">
        <is>
          <t>PFA Owner</t>
        </is>
      </c>
      <c r="F1" s="4" t="inlineStr">
        <is>
          <t>BA Owner</t>
        </is>
      </c>
      <c r="G1" s="4" t="inlineStr">
        <is>
          <t>Status</t>
        </is>
      </c>
      <c r="H1" s="4" t="inlineStr">
        <is>
          <t>Contract Value ($000)</t>
        </is>
      </c>
      <c r="I1" s="4" t="inlineStr">
        <is>
          <t>Budget Cost ($000)</t>
        </is>
      </c>
      <c r="J1" s="4" t="inlineStr">
        <is>
          <t>Actual Cost ($000)</t>
        </is>
      </c>
      <c r="K1" s="4" t="inlineStr">
        <is>
          <t>Forecast Cost ($000)</t>
        </is>
      </c>
      <c r="L1" s="4" t="inlineStr">
        <is>
          <t>Recognised Revenue ($000)</t>
        </is>
      </c>
      <c r="M1" s="4" t="inlineStr">
        <is>
          <t>Forecast Revenue ($000)</t>
        </is>
      </c>
      <c r="N1" s="4" t="inlineStr">
        <is>
          <t>Gross Margin %</t>
        </is>
      </c>
      <c r="O1" s="4" t="inlineStr">
        <is>
          <t>Forecast Margin %</t>
        </is>
      </c>
      <c r="P1" s="4" t="inlineStr">
        <is>
          <t>Milestone Name</t>
        </is>
      </c>
      <c r="Q1" s="4" t="inlineStr">
        <is>
          <t>Milestone Due Date</t>
        </is>
      </c>
      <c r="R1" s="4" t="inlineStr">
        <is>
          <t>Milestone Status</t>
        </is>
      </c>
      <c r="S1" s="4" t="inlineStr">
        <is>
          <t>Invoice Amount ($000)</t>
        </is>
      </c>
      <c r="T1" s="4" t="inlineStr">
        <is>
          <t>Invoice Due Date</t>
        </is>
      </c>
      <c r="U1" s="4" t="inlineStr">
        <is>
          <t>Invoice Status</t>
        </is>
      </c>
      <c r="V1" s="4" t="inlineStr">
        <is>
          <t>Revenue Event</t>
        </is>
      </c>
      <c r="W1" s="4" t="inlineStr">
        <is>
          <t>Expected Revenue Date</t>
        </is>
      </c>
      <c r="X1" s="4" t="inlineStr">
        <is>
          <t>Revenue Status</t>
        </is>
      </c>
      <c r="Y1" s="4" t="inlineStr">
        <is>
          <t>Planned Hours</t>
        </is>
      </c>
      <c r="Z1" s="4" t="inlineStr">
        <is>
          <t>Submitted Hours</t>
        </is>
      </c>
      <c r="AA1" s="4" t="inlineStr">
        <is>
          <t>Actual Hours</t>
        </is>
      </c>
      <c r="AB1" s="4" t="inlineStr">
        <is>
          <t>Customer Deliverable</t>
        </is>
      </c>
      <c r="AC1" s="4" t="inlineStr">
        <is>
          <t>Deliverable Submitted Date</t>
        </is>
      </c>
      <c r="AD1" s="4" t="inlineStr">
        <is>
          <t>Customer Acceptance Status</t>
        </is>
      </c>
      <c r="AE1" s="4" t="inlineStr">
        <is>
          <t>Acceptance Due Date</t>
        </is>
      </c>
      <c r="AF1" s="4" t="inlineStr">
        <is>
          <t>Last Review Date</t>
        </is>
      </c>
      <c r="AG1" s="5" t="inlineStr">
        <is>
          <t>Days to Milestone</t>
        </is>
      </c>
      <c r="AH1" s="5" t="inlineStr">
        <is>
          <t>Milestone Attention</t>
        </is>
      </c>
      <c r="AI1" s="5" t="inlineStr">
        <is>
          <t>Invoice Attention</t>
        </is>
      </c>
      <c r="AJ1" s="5" t="inlineStr">
        <is>
          <t>Revenue Attention</t>
        </is>
      </c>
      <c r="AK1" s="5" t="inlineStr">
        <is>
          <t>Time Attention</t>
        </is>
      </c>
      <c r="AL1" s="5" t="inlineStr">
        <is>
          <t>Acceptance Attention</t>
        </is>
      </c>
      <c r="AM1" s="5" t="inlineStr">
        <is>
          <t>Margin Attention</t>
        </is>
      </c>
      <c r="AN1" s="5" t="inlineStr">
        <is>
          <t>Overall Attention Score</t>
        </is>
      </c>
      <c r="AO1" s="5" t="inlineStr">
        <is>
          <t>Priority Band</t>
        </is>
      </c>
    </row>
    <row r="2">
      <c r="A2" s="6" t="inlineStr">
        <is>
          <t>P-001</t>
        </is>
      </c>
      <c r="B2" s="6" t="inlineStr">
        <is>
          <t>Orion Cloud Migration</t>
        </is>
      </c>
      <c r="C2" s="6" t="inlineStr">
        <is>
          <t>Apex Manufacturing</t>
        </is>
      </c>
      <c r="D2" s="6" t="inlineStr">
        <is>
          <t>R. Mehta</t>
        </is>
      </c>
      <c r="E2" s="6" t="inlineStr">
        <is>
          <t>PFA-01</t>
        </is>
      </c>
      <c r="F2" s="6" t="inlineStr">
        <is>
          <t>BA-01</t>
        </is>
      </c>
      <c r="G2" s="6" t="inlineStr">
        <is>
          <t>Active</t>
        </is>
      </c>
      <c r="H2" s="18" t="n">
        <v>1250</v>
      </c>
      <c r="I2" s="18" t="n">
        <v>820</v>
      </c>
      <c r="J2" s="18" t="n">
        <v>610</v>
      </c>
      <c r="K2" s="18" t="n">
        <v>890</v>
      </c>
      <c r="L2" s="18" t="n">
        <v>700</v>
      </c>
      <c r="M2" s="18" t="n">
        <v>1180</v>
      </c>
      <c r="N2" s="19">
        <f>IFERROR((L2-J2)/L2,0)</f>
        <v/>
      </c>
      <c r="O2" s="19">
        <f>IFERROR((M2-K2)/M2,0)</f>
        <v/>
      </c>
      <c r="P2" s="6" t="inlineStr">
        <is>
          <t>Design Sign-off</t>
        </is>
      </c>
      <c r="Q2" s="20" t="n">
        <v>46267</v>
      </c>
      <c r="R2" s="6" t="inlineStr">
        <is>
          <t>Missed</t>
        </is>
      </c>
      <c r="S2" s="18" t="n">
        <v>150</v>
      </c>
      <c r="T2" s="20" t="n">
        <v>46268</v>
      </c>
      <c r="U2" s="6" t="inlineStr">
        <is>
          <t>Due</t>
        </is>
      </c>
      <c r="V2" s="6" t="inlineStr">
        <is>
          <t>Phase 2 Revenue</t>
        </is>
      </c>
      <c r="W2" s="20" t="n">
        <v>46265</v>
      </c>
      <c r="X2" s="6" t="inlineStr">
        <is>
          <t>Pending</t>
        </is>
      </c>
      <c r="Y2" s="18" t="n">
        <v>320</v>
      </c>
      <c r="Z2" s="18" t="n">
        <v>300</v>
      </c>
      <c r="AA2" s="18" t="n">
        <v>360</v>
      </c>
      <c r="AB2" s="6" t="inlineStr">
        <is>
          <t>Design Package</t>
        </is>
      </c>
      <c r="AC2" s="20" t="n">
        <v>46258</v>
      </c>
      <c r="AD2" s="6" t="inlineStr">
        <is>
          <t>Pending</t>
        </is>
      </c>
      <c r="AE2" s="20" t="n">
        <v>46266</v>
      </c>
      <c r="AF2" s="20" t="n">
        <v>46262</v>
      </c>
      <c r="AG2" s="21">
        <f>Q2-Controls!$B$2</f>
        <v/>
      </c>
      <c r="AH2" s="12">
        <f>IF(R2="Missed",3,IF(AND(R2="Upcoming",AG2&lt;=Controls!$B$3),2,0))</f>
        <v/>
      </c>
      <c r="AI2" s="12">
        <f>IF(U2="Overdue",3,IF(U2="Due",2,IF(U2="Due Soon",1,0)))</f>
        <v/>
      </c>
      <c r="AJ2" s="12">
        <f>IF(X2="Missed",3,IF(X2="Ready",2,0))</f>
        <v/>
      </c>
      <c r="AK2" s="12">
        <f>IF(OR(AA2&gt;25,AA2&gt;Y2*(1+Controls!$B$5)),2,IF(Z2&lt;Y2,2,0))</f>
        <v/>
      </c>
      <c r="AL2" s="12">
        <f>IF(AND(AD2="Pending",Controls!$B$2-AC2&gt;Controls!$B$4),2,IF(AD2="Pending",1,0))</f>
        <v/>
      </c>
      <c r="AM2" s="12">
        <f>IF(O2&lt;15%,2,IF(O2&lt;Controls!$B$6,1,0))</f>
        <v/>
      </c>
      <c r="AN2" s="12">
        <f>SUM(AH2:AM2)</f>
        <v/>
      </c>
      <c r="AO2" s="12">
        <f>IF(AN2&gt;=Controls!$B$7,"High",IF(AN2&gt;=Controls!$B$8,"Medium","Normal"))</f>
        <v/>
      </c>
    </row>
    <row r="3">
      <c r="A3" s="6" t="inlineStr">
        <is>
          <t>P-002</t>
        </is>
      </c>
      <c r="B3" s="6" t="inlineStr">
        <is>
          <t>Atlas ERP Upgrade</t>
        </is>
      </c>
      <c r="C3" s="6" t="inlineStr">
        <is>
          <t>Northstar Retail</t>
        </is>
      </c>
      <c r="D3" s="6" t="inlineStr">
        <is>
          <t>S. Iyer</t>
        </is>
      </c>
      <c r="E3" s="6" t="inlineStr">
        <is>
          <t>PFA-01</t>
        </is>
      </c>
      <c r="F3" s="6" t="inlineStr">
        <is>
          <t>BA-01</t>
        </is>
      </c>
      <c r="G3" s="6" t="inlineStr">
        <is>
          <t>Active</t>
        </is>
      </c>
      <c r="H3" s="18" t="n">
        <v>980</v>
      </c>
      <c r="I3" s="18" t="n">
        <v>650</v>
      </c>
      <c r="J3" s="18" t="n">
        <v>470</v>
      </c>
      <c r="K3" s="18" t="n">
        <v>620</v>
      </c>
      <c r="L3" s="18" t="n">
        <v>520</v>
      </c>
      <c r="M3" s="18" t="n">
        <v>930</v>
      </c>
      <c r="N3" s="19">
        <f>IFERROR((L3-J3)/L3,0)</f>
        <v/>
      </c>
      <c r="O3" s="19">
        <f>IFERROR((M3-K3)/M3,0)</f>
        <v/>
      </c>
      <c r="P3" s="6" t="inlineStr">
        <is>
          <t>UAT Complete</t>
        </is>
      </c>
      <c r="Q3" s="20" t="n">
        <v>46275</v>
      </c>
      <c r="R3" s="6" t="inlineStr">
        <is>
          <t>Upcoming</t>
        </is>
      </c>
      <c r="S3" s="18" t="n">
        <v>100</v>
      </c>
      <c r="T3" s="20" t="n">
        <v>46283</v>
      </c>
      <c r="U3" s="6" t="inlineStr">
        <is>
          <t>Not Due</t>
        </is>
      </c>
      <c r="V3" s="6" t="inlineStr">
        <is>
          <t>UAT Revenue</t>
        </is>
      </c>
      <c r="W3" s="20" t="n">
        <v>46280</v>
      </c>
      <c r="X3" s="6" t="inlineStr">
        <is>
          <t>Pending</t>
        </is>
      </c>
      <c r="Y3" s="18" t="n">
        <v>180</v>
      </c>
      <c r="Z3" s="18" t="n">
        <v>180</v>
      </c>
      <c r="AA3" s="18" t="n">
        <v>175</v>
      </c>
      <c r="AB3" s="6" t="inlineStr">
        <is>
          <t>UAT Sign-off</t>
        </is>
      </c>
      <c r="AC3" s="20" t="n">
        <v>46264</v>
      </c>
      <c r="AD3" s="6" t="inlineStr">
        <is>
          <t>Accepted</t>
        </is>
      </c>
      <c r="AE3" s="20" t="n">
        <v>46270</v>
      </c>
      <c r="AF3" s="20" t="n">
        <v>46265</v>
      </c>
      <c r="AG3" s="21">
        <f>Q3-Controls!$B$2</f>
        <v/>
      </c>
      <c r="AH3" s="12">
        <f>IF(R3="Missed",3,IF(AND(R3="Upcoming",AG3&lt;=Controls!$B$3),2,0))</f>
        <v/>
      </c>
      <c r="AI3" s="12">
        <f>IF(U3="Overdue",3,IF(U3="Due",2,IF(U3="Due Soon",1,0)))</f>
        <v/>
      </c>
      <c r="AJ3" s="12">
        <f>IF(X3="Missed",3,IF(X3="Ready",2,0))</f>
        <v/>
      </c>
      <c r="AK3" s="12">
        <f>IF(OR(AA3&gt;25,AA3&gt;Y3*(1+Controls!$B$5)),2,IF(Z3&lt;Y3,2,0))</f>
        <v/>
      </c>
      <c r="AL3" s="12">
        <f>IF(AND(AD3="Pending",Controls!$B$2-AC3&gt;Controls!$B$4),2,IF(AD3="Pending",1,0))</f>
        <v/>
      </c>
      <c r="AM3" s="12">
        <f>IF(O3&lt;15%,2,IF(O3&lt;Controls!$B$6,1,0))</f>
        <v/>
      </c>
      <c r="AN3" s="12">
        <f>SUM(AH3:AM3)</f>
        <v/>
      </c>
      <c r="AO3" s="12">
        <f>IF(AN3&gt;=Controls!$B$7,"High",IF(AN3&gt;=Controls!$B$8,"Medium","Normal"))</f>
        <v/>
      </c>
    </row>
    <row r="4">
      <c r="A4" s="6" t="inlineStr">
        <is>
          <t>P-003</t>
        </is>
      </c>
      <c r="B4" s="6" t="inlineStr">
        <is>
          <t>Beacon Analytics</t>
        </is>
      </c>
      <c r="C4" s="6" t="inlineStr">
        <is>
          <t>Vertex Telecom</t>
        </is>
      </c>
      <c r="D4" s="6" t="inlineStr">
        <is>
          <t>A. Khan</t>
        </is>
      </c>
      <c r="E4" s="6" t="inlineStr">
        <is>
          <t>PFA-01</t>
        </is>
      </c>
      <c r="F4" s="6" t="inlineStr">
        <is>
          <t>BA-02</t>
        </is>
      </c>
      <c r="G4" s="6" t="inlineStr">
        <is>
          <t>Active</t>
        </is>
      </c>
      <c r="H4" s="18" t="n">
        <v>760</v>
      </c>
      <c r="I4" s="18" t="n">
        <v>510</v>
      </c>
      <c r="J4" s="18" t="n">
        <v>390</v>
      </c>
      <c r="K4" s="18" t="n">
        <v>525</v>
      </c>
      <c r="L4" s="18" t="n">
        <v>410</v>
      </c>
      <c r="M4" s="18" t="n">
        <v>720</v>
      </c>
      <c r="N4" s="19">
        <f>IFERROR((L4-J4)/L4,0)</f>
        <v/>
      </c>
      <c r="O4" s="19">
        <f>IFERROR((M4-K4)/M4,0)</f>
        <v/>
      </c>
      <c r="P4" s="6" t="inlineStr">
        <is>
          <t>Customer Acceptance</t>
        </is>
      </c>
      <c r="Q4" s="20" t="n">
        <v>46269</v>
      </c>
      <c r="R4" s="6" t="inlineStr">
        <is>
          <t>Upcoming</t>
        </is>
      </c>
      <c r="S4" s="18" t="n">
        <v>90</v>
      </c>
      <c r="T4" s="20" t="n">
        <v>46272</v>
      </c>
      <c r="U4" s="6" t="inlineStr">
        <is>
          <t>Due Soon</t>
        </is>
      </c>
      <c r="V4" s="6" t="inlineStr">
        <is>
          <t>Final Revenue</t>
        </is>
      </c>
      <c r="W4" s="20" t="n">
        <v>46271</v>
      </c>
      <c r="X4" s="6" t="inlineStr">
        <is>
          <t>Ready</t>
        </is>
      </c>
      <c r="Y4" s="18" t="n">
        <v>140</v>
      </c>
      <c r="Z4" s="18" t="n">
        <v>140</v>
      </c>
      <c r="AA4" s="18" t="n">
        <v>138</v>
      </c>
      <c r="AB4" s="6" t="inlineStr">
        <is>
          <t>Analytics Release</t>
        </is>
      </c>
      <c r="AC4" s="20" t="n">
        <v>46263</v>
      </c>
      <c r="AD4" s="6" t="inlineStr">
        <is>
          <t>Pending</t>
        </is>
      </c>
      <c r="AE4" s="20" t="n">
        <v>46268</v>
      </c>
      <c r="AF4" s="20" t="n">
        <v>46263</v>
      </c>
      <c r="AG4" s="21">
        <f>Q4-Controls!$B$2</f>
        <v/>
      </c>
      <c r="AH4" s="12">
        <f>IF(R4="Missed",3,IF(AND(R4="Upcoming",AG4&lt;=Controls!$B$3),2,0))</f>
        <v/>
      </c>
      <c r="AI4" s="12">
        <f>IF(U4="Overdue",3,IF(U4="Due",2,IF(U4="Due Soon",1,0)))</f>
        <v/>
      </c>
      <c r="AJ4" s="12">
        <f>IF(X4="Missed",3,IF(X4="Ready",2,0))</f>
        <v/>
      </c>
      <c r="AK4" s="12">
        <f>IF(OR(AA4&gt;25,AA4&gt;Y4*(1+Controls!$B$5)),2,IF(Z4&lt;Y4,2,0))</f>
        <v/>
      </c>
      <c r="AL4" s="12">
        <f>IF(AND(AD4="Pending",Controls!$B$2-AC4&gt;Controls!$B$4),2,IF(AD4="Pending",1,0))</f>
        <v/>
      </c>
      <c r="AM4" s="12">
        <f>IF(O4&lt;15%,2,IF(O4&lt;Controls!$B$6,1,0))</f>
        <v/>
      </c>
      <c r="AN4" s="12">
        <f>SUM(AH4:AM4)</f>
        <v/>
      </c>
      <c r="AO4" s="12">
        <f>IF(AN4&gt;=Controls!$B$7,"High",IF(AN4&gt;=Controls!$B$8,"Medium","Normal"))</f>
        <v/>
      </c>
    </row>
    <row r="5">
      <c r="A5" s="6" t="inlineStr">
        <is>
          <t>P-004</t>
        </is>
      </c>
      <c r="B5" s="6" t="inlineStr">
        <is>
          <t>Cedar Data Platform</t>
        </is>
      </c>
      <c r="C5" s="6" t="inlineStr">
        <is>
          <t>BluePeak Energy</t>
        </is>
      </c>
      <c r="D5" s="6" t="inlineStr">
        <is>
          <t>M. Rao</t>
        </is>
      </c>
      <c r="E5" s="6" t="inlineStr">
        <is>
          <t>PFA-02</t>
        </is>
      </c>
      <c r="F5" s="6" t="inlineStr">
        <is>
          <t>BA-02</t>
        </is>
      </c>
      <c r="G5" s="6" t="inlineStr">
        <is>
          <t>Active</t>
        </is>
      </c>
      <c r="H5" s="18" t="n">
        <v>1500</v>
      </c>
      <c r="I5" s="18" t="n">
        <v>1000</v>
      </c>
      <c r="J5" s="18" t="n">
        <v>790</v>
      </c>
      <c r="K5" s="18" t="n">
        <v>1120</v>
      </c>
      <c r="L5" s="18" t="n">
        <v>880</v>
      </c>
      <c r="M5" s="18" t="n">
        <v>1410</v>
      </c>
      <c r="N5" s="19">
        <f>IFERROR((L5-J5)/L5,0)</f>
        <v/>
      </c>
      <c r="O5" s="19">
        <f>IFERROR((M5-K5)/M5,0)</f>
        <v/>
      </c>
      <c r="P5" s="6" t="inlineStr">
        <is>
          <t>Go-Live</t>
        </is>
      </c>
      <c r="Q5" s="20" t="n">
        <v>46280</v>
      </c>
      <c r="R5" s="6" t="inlineStr">
        <is>
          <t>Upcoming</t>
        </is>
      </c>
      <c r="S5" s="18" t="n">
        <v>220</v>
      </c>
      <c r="T5" s="20" t="n">
        <v>46281</v>
      </c>
      <c r="U5" s="6" t="inlineStr">
        <is>
          <t>Not Due</t>
        </is>
      </c>
      <c r="V5" s="6" t="inlineStr">
        <is>
          <t>Go-Live Revenue</t>
        </is>
      </c>
      <c r="W5" s="20" t="n">
        <v>46280</v>
      </c>
      <c r="X5" s="6" t="inlineStr">
        <is>
          <t>Pending</t>
        </is>
      </c>
      <c r="Y5" s="18" t="n">
        <v>460</v>
      </c>
      <c r="Z5" s="18" t="n">
        <v>410</v>
      </c>
      <c r="AA5" s="18" t="n">
        <v>505</v>
      </c>
      <c r="AB5" s="6" t="inlineStr">
        <is>
          <t>Go-Live Acceptance</t>
        </is>
      </c>
      <c r="AC5" s="20" t="n">
        <v>46266</v>
      </c>
      <c r="AD5" s="6" t="inlineStr">
        <is>
          <t>Pending</t>
        </is>
      </c>
      <c r="AE5" s="20" t="n">
        <v>46283</v>
      </c>
      <c r="AF5" s="20" t="n">
        <v>46264</v>
      </c>
      <c r="AG5" s="21">
        <f>Q5-Controls!$B$2</f>
        <v/>
      </c>
      <c r="AH5" s="12">
        <f>IF(R5="Missed",3,IF(AND(R5="Upcoming",AG5&lt;=Controls!$B$3),2,0))</f>
        <v/>
      </c>
      <c r="AI5" s="12">
        <f>IF(U5="Overdue",3,IF(U5="Due",2,IF(U5="Due Soon",1,0)))</f>
        <v/>
      </c>
      <c r="AJ5" s="12">
        <f>IF(X5="Missed",3,IF(X5="Ready",2,0))</f>
        <v/>
      </c>
      <c r="AK5" s="12">
        <f>IF(OR(AA5&gt;25,AA5&gt;Y5*(1+Controls!$B$5)),2,IF(Z5&lt;Y5,2,0))</f>
        <v/>
      </c>
      <c r="AL5" s="12">
        <f>IF(AND(AD5="Pending",Controls!$B$2-AC5&gt;Controls!$B$4),2,IF(AD5="Pending",1,0))</f>
        <v/>
      </c>
      <c r="AM5" s="12">
        <f>IF(O5&lt;15%,2,IF(O5&lt;Controls!$B$6,1,0))</f>
        <v/>
      </c>
      <c r="AN5" s="12">
        <f>SUM(AH5:AM5)</f>
        <v/>
      </c>
      <c r="AO5" s="12">
        <f>IF(AN5&gt;=Controls!$B$7,"High",IF(AN5&gt;=Controls!$B$8,"Medium","Normal"))</f>
        <v/>
      </c>
    </row>
    <row r="6">
      <c r="A6" s="6" t="inlineStr">
        <is>
          <t>P-005</t>
        </is>
      </c>
      <c r="B6" s="6" t="inlineStr">
        <is>
          <t>Delta Automation</t>
        </is>
      </c>
      <c r="C6" s="6" t="inlineStr">
        <is>
          <t>Summit Logistics</t>
        </is>
      </c>
      <c r="D6" s="6" t="inlineStr">
        <is>
          <t>N. Sen</t>
        </is>
      </c>
      <c r="E6" s="6" t="inlineStr">
        <is>
          <t>PFA-02</t>
        </is>
      </c>
      <c r="F6" s="6" t="inlineStr">
        <is>
          <t>BA-03</t>
        </is>
      </c>
      <c r="G6" s="6" t="inlineStr">
        <is>
          <t>Active</t>
        </is>
      </c>
      <c r="H6" s="18" t="n">
        <v>430</v>
      </c>
      <c r="I6" s="18" t="n">
        <v>300</v>
      </c>
      <c r="J6" s="18" t="n">
        <v>245</v>
      </c>
      <c r="K6" s="18" t="n">
        <v>335</v>
      </c>
      <c r="L6" s="18" t="n">
        <v>280</v>
      </c>
      <c r="M6" s="18" t="n">
        <v>405</v>
      </c>
      <c r="N6" s="19">
        <f>IFERROR((L6-J6)/L6,0)</f>
        <v/>
      </c>
      <c r="O6" s="19">
        <f>IFERROR((M6-K6)/M6,0)</f>
        <v/>
      </c>
      <c r="P6" s="6" t="inlineStr">
        <is>
          <t>Automation Pilot</t>
        </is>
      </c>
      <c r="Q6" s="20" t="n">
        <v>46277</v>
      </c>
      <c r="R6" s="6" t="inlineStr">
        <is>
          <t>Upcoming</t>
        </is>
      </c>
      <c r="S6" s="18" t="n">
        <v>65</v>
      </c>
      <c r="T6" s="20" t="n">
        <v>46277</v>
      </c>
      <c r="U6" s="6" t="inlineStr">
        <is>
          <t>Due Soon</t>
        </is>
      </c>
      <c r="V6" s="6" t="inlineStr">
        <is>
          <t>Pilot Revenue</t>
        </is>
      </c>
      <c r="W6" s="20" t="n">
        <v>46277</v>
      </c>
      <c r="X6" s="6" t="inlineStr">
        <is>
          <t>Ready</t>
        </is>
      </c>
      <c r="Y6" s="18" t="n">
        <v>120</v>
      </c>
      <c r="Z6" s="18" t="n">
        <v>112</v>
      </c>
      <c r="AA6" s="18" t="n">
        <v>131</v>
      </c>
      <c r="AB6" s="6" t="inlineStr">
        <is>
          <t>Pilot Results</t>
        </is>
      </c>
      <c r="AC6" s="20" t="n">
        <v>46261</v>
      </c>
      <c r="AD6" s="6" t="inlineStr">
        <is>
          <t>Pending</t>
        </is>
      </c>
      <c r="AE6" s="20" t="n">
        <v>46271</v>
      </c>
      <c r="AF6" s="20" t="n">
        <v>46261</v>
      </c>
      <c r="AG6" s="21">
        <f>Q6-Controls!$B$2</f>
        <v/>
      </c>
      <c r="AH6" s="12">
        <f>IF(R6="Missed",3,IF(AND(R6="Upcoming",AG6&lt;=Controls!$B$3),2,0))</f>
        <v/>
      </c>
      <c r="AI6" s="12">
        <f>IF(U6="Overdue",3,IF(U6="Due",2,IF(U6="Due Soon",1,0)))</f>
        <v/>
      </c>
      <c r="AJ6" s="12">
        <f>IF(X6="Missed",3,IF(X6="Ready",2,0))</f>
        <v/>
      </c>
      <c r="AK6" s="12">
        <f>IF(OR(AA6&gt;25,AA6&gt;Y6*(1+Controls!$B$5)),2,IF(Z6&lt;Y6,2,0))</f>
        <v/>
      </c>
      <c r="AL6" s="12">
        <f>IF(AND(AD6="Pending",Controls!$B$2-AC6&gt;Controls!$B$4),2,IF(AD6="Pending",1,0))</f>
        <v/>
      </c>
      <c r="AM6" s="12">
        <f>IF(O6&lt;15%,2,IF(O6&lt;Controls!$B$6,1,0))</f>
        <v/>
      </c>
      <c r="AN6" s="12">
        <f>SUM(AH6:AM6)</f>
        <v/>
      </c>
      <c r="AO6" s="12">
        <f>IF(AN6&gt;=Controls!$B$7,"High",IF(AN6&gt;=Controls!$B$8,"Medium","Normal"))</f>
        <v/>
      </c>
    </row>
    <row r="7">
      <c r="A7" s="6" t="inlineStr">
        <is>
          <t>P-006</t>
        </is>
      </c>
      <c r="B7" s="6" t="inlineStr">
        <is>
          <t>Echo Service Transition</t>
        </is>
      </c>
      <c r="C7" s="6" t="inlineStr">
        <is>
          <t>Harbor Bank</t>
        </is>
      </c>
      <c r="D7" s="6" t="inlineStr">
        <is>
          <t>V. Shah</t>
        </is>
      </c>
      <c r="E7" s="6" t="inlineStr">
        <is>
          <t>PFA-02</t>
        </is>
      </c>
      <c r="F7" s="6" t="inlineStr">
        <is>
          <t>BA-03</t>
        </is>
      </c>
      <c r="G7" s="6" t="inlineStr">
        <is>
          <t>Active</t>
        </is>
      </c>
      <c r="H7" s="18" t="n">
        <v>690</v>
      </c>
      <c r="I7" s="18" t="n">
        <v>470</v>
      </c>
      <c r="J7" s="18" t="n">
        <v>350</v>
      </c>
      <c r="K7" s="18" t="n">
        <v>465</v>
      </c>
      <c r="L7" s="18" t="n">
        <v>390</v>
      </c>
      <c r="M7" s="18" t="n">
        <v>660</v>
      </c>
      <c r="N7" s="19">
        <f>IFERROR((L7-J7)/L7,0)</f>
        <v/>
      </c>
      <c r="O7" s="19">
        <f>IFERROR((M7-K7)/M7,0)</f>
        <v/>
      </c>
      <c r="P7" s="6" t="inlineStr">
        <is>
          <t>Service Acceptance</t>
        </is>
      </c>
      <c r="Q7" s="20" t="n">
        <v>46263</v>
      </c>
      <c r="R7" s="6" t="inlineStr">
        <is>
          <t>Missed</t>
        </is>
      </c>
      <c r="S7" s="18" t="n">
        <v>80</v>
      </c>
      <c r="T7" s="20" t="n">
        <v>46264</v>
      </c>
      <c r="U7" s="6" t="inlineStr">
        <is>
          <t>Overdue</t>
        </is>
      </c>
      <c r="V7" s="6" t="inlineStr">
        <is>
          <t>Transition Revenue</t>
        </is>
      </c>
      <c r="W7" s="20" t="n">
        <v>46263</v>
      </c>
      <c r="X7" s="6" t="inlineStr">
        <is>
          <t>Missed</t>
        </is>
      </c>
      <c r="Y7" s="18" t="n">
        <v>160</v>
      </c>
      <c r="Z7" s="18" t="n">
        <v>150</v>
      </c>
      <c r="AA7" s="18" t="n">
        <v>154</v>
      </c>
      <c r="AB7" s="6" t="inlineStr">
        <is>
          <t>Transition Pack</t>
        </is>
      </c>
      <c r="AC7" s="20" t="n">
        <v>46256</v>
      </c>
      <c r="AD7" s="6" t="inlineStr">
        <is>
          <t>Pending</t>
        </is>
      </c>
      <c r="AE7" s="20" t="n">
        <v>46263</v>
      </c>
      <c r="AF7" s="20" t="n">
        <v>46259</v>
      </c>
      <c r="AG7" s="21">
        <f>Q7-Controls!$B$2</f>
        <v/>
      </c>
      <c r="AH7" s="12">
        <f>IF(R7="Missed",3,IF(AND(R7="Upcoming",AG7&lt;=Controls!$B$3),2,0))</f>
        <v/>
      </c>
      <c r="AI7" s="12">
        <f>IF(U7="Overdue",3,IF(U7="Due",2,IF(U7="Due Soon",1,0)))</f>
        <v/>
      </c>
      <c r="AJ7" s="12">
        <f>IF(X7="Missed",3,IF(X7="Ready",2,0))</f>
        <v/>
      </c>
      <c r="AK7" s="12">
        <f>IF(OR(AA7&gt;25,AA7&gt;Y7*(1+Controls!$B$5)),2,IF(Z7&lt;Y7,2,0))</f>
        <v/>
      </c>
      <c r="AL7" s="12">
        <f>IF(AND(AD7="Pending",Controls!$B$2-AC7&gt;Controls!$B$4),2,IF(AD7="Pending",1,0))</f>
        <v/>
      </c>
      <c r="AM7" s="12">
        <f>IF(O7&lt;15%,2,IF(O7&lt;Controls!$B$6,1,0))</f>
        <v/>
      </c>
      <c r="AN7" s="12">
        <f>SUM(AH7:AM7)</f>
        <v/>
      </c>
      <c r="AO7" s="12">
        <f>IF(AN7&gt;=Controls!$B$7,"High",IF(AN7&gt;=Controls!$B$8,"Medium","Normal"))</f>
        <v/>
      </c>
    </row>
    <row r="8">
      <c r="A8" s="6" t="inlineStr">
        <is>
          <t>P-007</t>
        </is>
      </c>
      <c r="B8" s="6" t="inlineStr">
        <is>
          <t>Falcon CRM Transformation</t>
        </is>
      </c>
      <c r="C8" s="6" t="inlineStr">
        <is>
          <t>Evergreen Foods</t>
        </is>
      </c>
      <c r="D8" s="6" t="inlineStr">
        <is>
          <t>T. Das</t>
        </is>
      </c>
      <c r="E8" s="6" t="inlineStr">
        <is>
          <t>PFA-03</t>
        </is>
      </c>
      <c r="F8" s="6" t="inlineStr">
        <is>
          <t>BA-04</t>
        </is>
      </c>
      <c r="G8" s="6" t="inlineStr">
        <is>
          <t>Active</t>
        </is>
      </c>
      <c r="H8" s="18" t="n">
        <v>1120</v>
      </c>
      <c r="I8" s="18" t="n">
        <v>760</v>
      </c>
      <c r="J8" s="18" t="n">
        <v>585</v>
      </c>
      <c r="K8" s="18" t="n">
        <v>800</v>
      </c>
      <c r="L8" s="18" t="n">
        <v>610</v>
      </c>
      <c r="M8" s="18" t="n">
        <v>1080</v>
      </c>
      <c r="N8" s="19">
        <f>IFERROR((L8-J8)/L8,0)</f>
        <v/>
      </c>
      <c r="O8" s="19">
        <f>IFERROR((M8-K8)/M8,0)</f>
        <v/>
      </c>
      <c r="P8" s="6" t="inlineStr">
        <is>
          <t>Process Design</t>
        </is>
      </c>
      <c r="Q8" s="20" t="n">
        <v>46273</v>
      </c>
      <c r="R8" s="6" t="inlineStr">
        <is>
          <t>Upcoming</t>
        </is>
      </c>
      <c r="S8" s="18" t="n">
        <v>140</v>
      </c>
      <c r="T8" s="20" t="n">
        <v>46274</v>
      </c>
      <c r="U8" s="6" t="inlineStr">
        <is>
          <t>Not Due</t>
        </is>
      </c>
      <c r="V8" s="6" t="inlineStr">
        <is>
          <t>Design Revenue</t>
        </is>
      </c>
      <c r="W8" s="20" t="n">
        <v>46273</v>
      </c>
      <c r="X8" s="6" t="inlineStr">
        <is>
          <t>Pending</t>
        </is>
      </c>
      <c r="Y8" s="18" t="n">
        <v>280</v>
      </c>
      <c r="Z8" s="18" t="n">
        <v>225</v>
      </c>
      <c r="AA8" s="18" t="n">
        <v>275</v>
      </c>
      <c r="AB8" s="6" t="inlineStr">
        <is>
          <t>Process Design Pack</t>
        </is>
      </c>
      <c r="AC8" s="20" t="n">
        <v>46260</v>
      </c>
      <c r="AD8" s="6" t="inlineStr">
        <is>
          <t>Pending</t>
        </is>
      </c>
      <c r="AE8" s="20" t="n">
        <v>46275</v>
      </c>
      <c r="AF8" s="20" t="n">
        <v>46262</v>
      </c>
      <c r="AG8" s="21">
        <f>Q8-Controls!$B$2</f>
        <v/>
      </c>
      <c r="AH8" s="12">
        <f>IF(R8="Missed",3,IF(AND(R8="Upcoming",AG8&lt;=Controls!$B$3),2,0))</f>
        <v/>
      </c>
      <c r="AI8" s="12">
        <f>IF(U8="Overdue",3,IF(U8="Due",2,IF(U8="Due Soon",1,0)))</f>
        <v/>
      </c>
      <c r="AJ8" s="12">
        <f>IF(X8="Missed",3,IF(X8="Ready",2,0))</f>
        <v/>
      </c>
      <c r="AK8" s="12">
        <f>IF(OR(AA8&gt;25,AA8&gt;Y8*(1+Controls!$B$5)),2,IF(Z8&lt;Y8,2,0))</f>
        <v/>
      </c>
      <c r="AL8" s="12">
        <f>IF(AND(AD8="Pending",Controls!$B$2-AC8&gt;Controls!$B$4),2,IF(AD8="Pending",1,0))</f>
        <v/>
      </c>
      <c r="AM8" s="12">
        <f>IF(O8&lt;15%,2,IF(O8&lt;Controls!$B$6,1,0))</f>
        <v/>
      </c>
      <c r="AN8" s="12">
        <f>SUM(AH8:AM8)</f>
        <v/>
      </c>
      <c r="AO8" s="12">
        <f>IF(AN8&gt;=Controls!$B$7,"High",IF(AN8&gt;=Controls!$B$8,"Medium","Normal"))</f>
        <v/>
      </c>
    </row>
    <row r="9">
      <c r="A9" s="6" t="inlineStr">
        <is>
          <t>P-008</t>
        </is>
      </c>
      <c r="B9" s="6" t="inlineStr">
        <is>
          <t>Granite Finance Reporting</t>
        </is>
      </c>
      <c r="C9" s="6" t="inlineStr">
        <is>
          <t>Metro Utilities</t>
        </is>
      </c>
      <c r="D9" s="6" t="inlineStr">
        <is>
          <t>P. Bose</t>
        </is>
      </c>
      <c r="E9" s="6" t="inlineStr">
        <is>
          <t>PFA-03</t>
        </is>
      </c>
      <c r="F9" s="6" t="inlineStr">
        <is>
          <t>BA-04</t>
        </is>
      </c>
      <c r="G9" s="6" t="inlineStr">
        <is>
          <t>Active</t>
        </is>
      </c>
      <c r="H9" s="18" t="n">
        <v>540</v>
      </c>
      <c r="I9" s="18" t="n">
        <v>360</v>
      </c>
      <c r="J9" s="18" t="n">
        <v>300</v>
      </c>
      <c r="K9" s="18" t="n">
        <v>430</v>
      </c>
      <c r="L9" s="18" t="n">
        <v>390</v>
      </c>
      <c r="M9" s="18" t="n">
        <v>500</v>
      </c>
      <c r="N9" s="19">
        <f>IFERROR((L9-J9)/L9,0)</f>
        <v/>
      </c>
      <c r="O9" s="19">
        <f>IFERROR((M9-K9)/M9,0)</f>
        <v/>
      </c>
      <c r="P9" s="6" t="inlineStr">
        <is>
          <t>Monthly Reporting Sign-off</t>
        </is>
      </c>
      <c r="Q9" s="20" t="n">
        <v>46266</v>
      </c>
      <c r="R9" s="6" t="inlineStr">
        <is>
          <t>Missed</t>
        </is>
      </c>
      <c r="S9" s="18" t="n">
        <v>70</v>
      </c>
      <c r="T9" s="20" t="n">
        <v>46267</v>
      </c>
      <c r="U9" s="6" t="inlineStr">
        <is>
          <t>Due</t>
        </is>
      </c>
      <c r="V9" s="6" t="inlineStr">
        <is>
          <t>Reporting Revenue</t>
        </is>
      </c>
      <c r="W9" s="20" t="n">
        <v>46266</v>
      </c>
      <c r="X9" s="6" t="inlineStr">
        <is>
          <t>Ready</t>
        </is>
      </c>
      <c r="Y9" s="18" t="n">
        <v>90</v>
      </c>
      <c r="Z9" s="18" t="n">
        <v>70</v>
      </c>
      <c r="AA9" s="18" t="n">
        <v>105</v>
      </c>
      <c r="AB9" s="6" t="inlineStr">
        <is>
          <t>Reporting Pack</t>
        </is>
      </c>
      <c r="AC9" s="20" t="n">
        <v>46254</v>
      </c>
      <c r="AD9" s="6" t="inlineStr">
        <is>
          <t>Pending</t>
        </is>
      </c>
      <c r="AE9" s="20" t="n">
        <v>46264</v>
      </c>
      <c r="AF9" s="20" t="n">
        <v>46260</v>
      </c>
      <c r="AG9" s="21">
        <f>Q9-Controls!$B$2</f>
        <v/>
      </c>
      <c r="AH9" s="12">
        <f>IF(R9="Missed",3,IF(AND(R9="Upcoming",AG9&lt;=Controls!$B$3),2,0))</f>
        <v/>
      </c>
      <c r="AI9" s="12">
        <f>IF(U9="Overdue",3,IF(U9="Due",2,IF(U9="Due Soon",1,0)))</f>
        <v/>
      </c>
      <c r="AJ9" s="12">
        <f>IF(X9="Missed",3,IF(X9="Ready",2,0))</f>
        <v/>
      </c>
      <c r="AK9" s="12">
        <f>IF(OR(AA9&gt;25,AA9&gt;Y9*(1+Controls!$B$5)),2,IF(Z9&lt;Y9,2,0))</f>
        <v/>
      </c>
      <c r="AL9" s="12">
        <f>IF(AND(AD9="Pending",Controls!$B$2-AC9&gt;Controls!$B$4),2,IF(AD9="Pending",1,0))</f>
        <v/>
      </c>
      <c r="AM9" s="12">
        <f>IF(O9&lt;15%,2,IF(O9&lt;Controls!$B$6,1,0))</f>
        <v/>
      </c>
      <c r="AN9" s="12">
        <f>SUM(AH9:AM9)</f>
        <v/>
      </c>
      <c r="AO9" s="12">
        <f>IF(AN9&gt;=Controls!$B$7,"High",IF(AN9&gt;=Controls!$B$8,"Medium","Normal"))</f>
        <v/>
      </c>
    </row>
    <row r="10">
      <c r="A10" s="6" t="inlineStr">
        <is>
          <t>P-009</t>
        </is>
      </c>
      <c r="B10" s="6" t="inlineStr">
        <is>
          <t>Helix Workforce Portal</t>
        </is>
      </c>
      <c r="C10" s="6" t="inlineStr">
        <is>
          <t>Crown Health</t>
        </is>
      </c>
      <c r="D10" s="6" t="inlineStr">
        <is>
          <t>J. Roy</t>
        </is>
      </c>
      <c r="E10" s="6" t="inlineStr">
        <is>
          <t>PFA-03</t>
        </is>
      </c>
      <c r="F10" s="6" t="inlineStr">
        <is>
          <t>BA-05</t>
        </is>
      </c>
      <c r="G10" s="6" t="inlineStr">
        <is>
          <t>Active</t>
        </is>
      </c>
      <c r="H10" s="18" t="n">
        <v>870</v>
      </c>
      <c r="I10" s="18" t="n">
        <v>590</v>
      </c>
      <c r="J10" s="18" t="n">
        <v>420</v>
      </c>
      <c r="K10" s="18" t="n">
        <v>570</v>
      </c>
      <c r="L10" s="18" t="n">
        <v>470</v>
      </c>
      <c r="M10" s="18" t="n">
        <v>820</v>
      </c>
      <c r="N10" s="19">
        <f>IFERROR((L10-J10)/L10,0)</f>
        <v/>
      </c>
      <c r="O10" s="19">
        <f>IFERROR((M10-K10)/M10,0)</f>
        <v/>
      </c>
      <c r="P10" s="6" t="inlineStr">
        <is>
          <t>Business Readiness</t>
        </is>
      </c>
      <c r="Q10" s="20" t="n">
        <v>46285</v>
      </c>
      <c r="R10" s="6" t="inlineStr">
        <is>
          <t>Upcoming</t>
        </is>
      </c>
      <c r="S10" s="18" t="n">
        <v>120</v>
      </c>
      <c r="T10" s="20" t="n">
        <v>46287</v>
      </c>
      <c r="U10" s="6" t="inlineStr">
        <is>
          <t>Not Due</t>
        </is>
      </c>
      <c r="V10" s="6" t="inlineStr">
        <is>
          <t>Readiness Revenue</t>
        </is>
      </c>
      <c r="W10" s="20" t="n">
        <v>46285</v>
      </c>
      <c r="X10" s="6" t="inlineStr">
        <is>
          <t>Pending</t>
        </is>
      </c>
      <c r="Y10" s="18" t="n">
        <v>210</v>
      </c>
      <c r="Z10" s="18" t="n">
        <v>208</v>
      </c>
      <c r="AA10" s="18" t="n">
        <v>207</v>
      </c>
      <c r="AB10" s="6" t="inlineStr">
        <is>
          <t>Readiness Sign-off</t>
        </is>
      </c>
      <c r="AC10" s="20" t="n">
        <v>46265</v>
      </c>
      <c r="AD10" s="6" t="inlineStr">
        <is>
          <t>Pending</t>
        </is>
      </c>
      <c r="AE10" s="20" t="n">
        <v>46287</v>
      </c>
      <c r="AF10" s="20" t="n">
        <v>46265</v>
      </c>
      <c r="AG10" s="21">
        <f>Q10-Controls!$B$2</f>
        <v/>
      </c>
      <c r="AH10" s="12">
        <f>IF(R10="Missed",3,IF(AND(R10="Upcoming",AG10&lt;=Controls!$B$3),2,0))</f>
        <v/>
      </c>
      <c r="AI10" s="12">
        <f>IF(U10="Overdue",3,IF(U10="Due",2,IF(U10="Due Soon",1,0)))</f>
        <v/>
      </c>
      <c r="AJ10" s="12">
        <f>IF(X10="Missed",3,IF(X10="Ready",2,0))</f>
        <v/>
      </c>
      <c r="AK10" s="12">
        <f>IF(OR(AA10&gt;25,AA10&gt;Y10*(1+Controls!$B$5)),2,IF(Z10&lt;Y10,2,0))</f>
        <v/>
      </c>
      <c r="AL10" s="12">
        <f>IF(AND(AD10="Pending",Controls!$B$2-AC10&gt;Controls!$B$4),2,IF(AD10="Pending",1,0))</f>
        <v/>
      </c>
      <c r="AM10" s="12">
        <f>IF(O10&lt;15%,2,IF(O10&lt;Controls!$B$6,1,0))</f>
        <v/>
      </c>
      <c r="AN10" s="12">
        <f>SUM(AH10:AM10)</f>
        <v/>
      </c>
      <c r="AO10" s="12">
        <f>IF(AN10&gt;=Controls!$B$7,"High",IF(AN10&gt;=Controls!$B$8,"Medium","Normal"))</f>
        <v/>
      </c>
    </row>
    <row r="11">
      <c r="A11" s="6" t="inlineStr">
        <is>
          <t>P-010</t>
        </is>
      </c>
      <c r="B11" s="6" t="inlineStr">
        <is>
          <t>Ivory Procurement Redesign</t>
        </is>
      </c>
      <c r="C11" s="6" t="inlineStr">
        <is>
          <t>Nova Pharma</t>
        </is>
      </c>
      <c r="D11" s="6" t="inlineStr">
        <is>
          <t>D. Gupta</t>
        </is>
      </c>
      <c r="E11" s="6" t="inlineStr">
        <is>
          <t>PFA-04</t>
        </is>
      </c>
      <c r="F11" s="6" t="inlineStr">
        <is>
          <t>BA-05</t>
        </is>
      </c>
      <c r="G11" s="6" t="inlineStr">
        <is>
          <t>Active</t>
        </is>
      </c>
      <c r="H11" s="18" t="n">
        <v>930</v>
      </c>
      <c r="I11" s="18" t="n">
        <v>610</v>
      </c>
      <c r="J11" s="18" t="n">
        <v>455</v>
      </c>
      <c r="K11" s="18" t="n">
        <v>710</v>
      </c>
      <c r="L11" s="18" t="n">
        <v>500</v>
      </c>
      <c r="M11" s="18" t="n">
        <v>890</v>
      </c>
      <c r="N11" s="19">
        <f>IFERROR((L11-J11)/L11,0)</f>
        <v/>
      </c>
      <c r="O11" s="19">
        <f>IFERROR((M11-K11)/M11,0)</f>
        <v/>
      </c>
      <c r="P11" s="6" t="inlineStr">
        <is>
          <t>Design Approval</t>
        </is>
      </c>
      <c r="Q11" s="20" t="n">
        <v>46271</v>
      </c>
      <c r="R11" s="6" t="inlineStr">
        <is>
          <t>Upcoming</t>
        </is>
      </c>
      <c r="S11" s="18" t="n">
        <v>130</v>
      </c>
      <c r="T11" s="20" t="n">
        <v>46273</v>
      </c>
      <c r="U11" s="6" t="inlineStr">
        <is>
          <t>Due Soon</t>
        </is>
      </c>
      <c r="V11" s="6" t="inlineStr">
        <is>
          <t>Design Revenue</t>
        </is>
      </c>
      <c r="W11" s="20" t="n">
        <v>46271</v>
      </c>
      <c r="X11" s="6" t="inlineStr">
        <is>
          <t>Ready</t>
        </is>
      </c>
      <c r="Y11" s="18" t="n">
        <v>250</v>
      </c>
      <c r="Z11" s="18" t="n">
        <v>245</v>
      </c>
      <c r="AA11" s="18" t="n">
        <v>290</v>
      </c>
      <c r="AB11" s="6" t="inlineStr">
        <is>
          <t>Design Approval Pack</t>
        </is>
      </c>
      <c r="AC11" s="20" t="n">
        <v>46259</v>
      </c>
      <c r="AD11" s="6" t="inlineStr">
        <is>
          <t>Pending</t>
        </is>
      </c>
      <c r="AE11" s="20" t="n">
        <v>46271</v>
      </c>
      <c r="AF11" s="20" t="n">
        <v>46261</v>
      </c>
      <c r="AG11" s="21">
        <f>Q11-Controls!$B$2</f>
        <v/>
      </c>
      <c r="AH11" s="12">
        <f>IF(R11="Missed",3,IF(AND(R11="Upcoming",AG11&lt;=Controls!$B$3),2,0))</f>
        <v/>
      </c>
      <c r="AI11" s="12">
        <f>IF(U11="Overdue",3,IF(U11="Due",2,IF(U11="Due Soon",1,0)))</f>
        <v/>
      </c>
      <c r="AJ11" s="12">
        <f>IF(X11="Missed",3,IF(X11="Ready",2,0))</f>
        <v/>
      </c>
      <c r="AK11" s="12">
        <f>IF(OR(AA11&gt;25,AA11&gt;Y11*(1+Controls!$B$5)),2,IF(Z11&lt;Y11,2,0))</f>
        <v/>
      </c>
      <c r="AL11" s="12">
        <f>IF(AND(AD11="Pending",Controls!$B$2-AC11&gt;Controls!$B$4),2,IF(AD11="Pending",1,0))</f>
        <v/>
      </c>
      <c r="AM11" s="12">
        <f>IF(O11&lt;15%,2,IF(O11&lt;Controls!$B$6,1,0))</f>
        <v/>
      </c>
      <c r="AN11" s="12">
        <f>SUM(AH11:AM11)</f>
        <v/>
      </c>
      <c r="AO11" s="12">
        <f>IF(AN11&gt;=Controls!$B$7,"High",IF(AN11&gt;=Controls!$B$8,"Medium","Normal"))</f>
        <v/>
      </c>
    </row>
    <row r="12">
      <c r="A12" s="6" t="inlineStr">
        <is>
          <t>P-011</t>
        </is>
      </c>
      <c r="B12" s="6" t="inlineStr">
        <is>
          <t>Juniper Billing Transformation</t>
        </is>
      </c>
      <c r="C12" s="6" t="inlineStr">
        <is>
          <t>Silverline Media</t>
        </is>
      </c>
      <c r="D12" s="6" t="inlineStr">
        <is>
          <t>K. Paul</t>
        </is>
      </c>
      <c r="E12" s="6" t="inlineStr">
        <is>
          <t>PFA-04</t>
        </is>
      </c>
      <c r="F12" s="6" t="inlineStr">
        <is>
          <t>BA-06</t>
        </is>
      </c>
      <c r="G12" s="6" t="inlineStr">
        <is>
          <t>Active</t>
        </is>
      </c>
      <c r="H12" s="18" t="n">
        <v>1380</v>
      </c>
      <c r="I12" s="18" t="n">
        <v>900</v>
      </c>
      <c r="J12" s="18" t="n">
        <v>690</v>
      </c>
      <c r="K12" s="18" t="n">
        <v>920</v>
      </c>
      <c r="L12" s="18" t="n">
        <v>760</v>
      </c>
      <c r="M12" s="18" t="n">
        <v>1290</v>
      </c>
      <c r="N12" s="19">
        <f>IFERROR((L12-J12)/L12,0)</f>
        <v/>
      </c>
      <c r="O12" s="19">
        <f>IFERROR((M12-K12)/M12,0)</f>
        <v/>
      </c>
      <c r="P12" s="6" t="inlineStr">
        <is>
          <t>Billing UAT</t>
        </is>
      </c>
      <c r="Q12" s="20" t="n">
        <v>46279</v>
      </c>
      <c r="R12" s="6" t="inlineStr">
        <is>
          <t>Upcoming</t>
        </is>
      </c>
      <c r="S12" s="18" t="n">
        <v>190</v>
      </c>
      <c r="T12" s="20" t="n">
        <v>46280</v>
      </c>
      <c r="U12" s="6" t="inlineStr">
        <is>
          <t>Not Due</t>
        </is>
      </c>
      <c r="V12" s="6" t="inlineStr">
        <is>
          <t>UAT Revenue</t>
        </is>
      </c>
      <c r="W12" s="20" t="n">
        <v>46279</v>
      </c>
      <c r="X12" s="6" t="inlineStr">
        <is>
          <t>Pending</t>
        </is>
      </c>
      <c r="Y12" s="18" t="n">
        <v>360</v>
      </c>
      <c r="Z12" s="18" t="n">
        <v>355</v>
      </c>
      <c r="AA12" s="18" t="n">
        <v>350</v>
      </c>
      <c r="AB12" s="6" t="inlineStr">
        <is>
          <t>Billing UAT Sign-off</t>
        </is>
      </c>
      <c r="AC12" s="20" t="n">
        <v>46264</v>
      </c>
      <c r="AD12" s="6" t="inlineStr">
        <is>
          <t>Accepted</t>
        </is>
      </c>
      <c r="AE12" s="20" t="n">
        <v>46281</v>
      </c>
      <c r="AF12" s="20" t="n">
        <v>46264</v>
      </c>
      <c r="AG12" s="21">
        <f>Q12-Controls!$B$2</f>
        <v/>
      </c>
      <c r="AH12" s="12">
        <f>IF(R12="Missed",3,IF(AND(R12="Upcoming",AG12&lt;=Controls!$B$3),2,0))</f>
        <v/>
      </c>
      <c r="AI12" s="12">
        <f>IF(U12="Overdue",3,IF(U12="Due",2,IF(U12="Due Soon",1,0)))</f>
        <v/>
      </c>
      <c r="AJ12" s="12">
        <f>IF(X12="Missed",3,IF(X12="Ready",2,0))</f>
        <v/>
      </c>
      <c r="AK12" s="12">
        <f>IF(OR(AA12&gt;25,AA12&gt;Y12*(1+Controls!$B$5)),2,IF(Z12&lt;Y12,2,0))</f>
        <v/>
      </c>
      <c r="AL12" s="12">
        <f>IF(AND(AD12="Pending",Controls!$B$2-AC12&gt;Controls!$B$4),2,IF(AD12="Pending",1,0))</f>
        <v/>
      </c>
      <c r="AM12" s="12">
        <f>IF(O12&lt;15%,2,IF(O12&lt;Controls!$B$6,1,0))</f>
        <v/>
      </c>
      <c r="AN12" s="12">
        <f>SUM(AH12:AM12)</f>
        <v/>
      </c>
      <c r="AO12" s="12">
        <f>IF(AN12&gt;=Controls!$B$7,"High",IF(AN12&gt;=Controls!$B$8,"Medium","Normal"))</f>
        <v/>
      </c>
    </row>
    <row r="13">
      <c r="A13" s="6" t="inlineStr">
        <is>
          <t>P-012</t>
        </is>
      </c>
      <c r="B13" s="6" t="inlineStr">
        <is>
          <t>Keystone Contract Management</t>
        </is>
      </c>
      <c r="C13" s="6" t="inlineStr">
        <is>
          <t>Redwood Services</t>
        </is>
      </c>
      <c r="D13" s="6" t="inlineStr">
        <is>
          <t>G. Nair</t>
        </is>
      </c>
      <c r="E13" s="6" t="inlineStr">
        <is>
          <t>PFA-04</t>
        </is>
      </c>
      <c r="F13" s="6" t="inlineStr">
        <is>
          <t>BA-06</t>
        </is>
      </c>
      <c r="G13" s="6" t="inlineStr">
        <is>
          <t>Active</t>
        </is>
      </c>
      <c r="H13" s="18" t="n">
        <v>610</v>
      </c>
      <c r="I13" s="18" t="n">
        <v>420</v>
      </c>
      <c r="J13" s="18" t="n">
        <v>345</v>
      </c>
      <c r="K13" s="18" t="n">
        <v>470</v>
      </c>
      <c r="L13" s="18" t="n">
        <v>315</v>
      </c>
      <c r="M13" s="18" t="n">
        <v>585</v>
      </c>
      <c r="N13" s="19">
        <f>IFERROR((L13-J13)/L13,0)</f>
        <v/>
      </c>
      <c r="O13" s="19">
        <f>IFERROR((M13-K13)/M13,0)</f>
        <v/>
      </c>
      <c r="P13" s="6" t="inlineStr">
        <is>
          <t>Contract Approval</t>
        </is>
      </c>
      <c r="Q13" s="20" t="n">
        <v>46274</v>
      </c>
      <c r="R13" s="6" t="inlineStr">
        <is>
          <t>Upcoming</t>
        </is>
      </c>
      <c r="S13" s="18" t="n">
        <v>95</v>
      </c>
      <c r="T13" s="20" t="n">
        <v>46275</v>
      </c>
      <c r="U13" s="6" t="inlineStr">
        <is>
          <t>Not Due</t>
        </is>
      </c>
      <c r="V13" s="6" t="inlineStr">
        <is>
          <t>Contract Revenue</t>
        </is>
      </c>
      <c r="W13" s="20" t="n">
        <v>46274</v>
      </c>
      <c r="X13" s="6" t="inlineStr">
        <is>
          <t>Ready</t>
        </is>
      </c>
      <c r="Y13" s="18" t="n">
        <v>155</v>
      </c>
      <c r="Z13" s="18" t="n">
        <v>140</v>
      </c>
      <c r="AA13" s="18" t="n">
        <v>165</v>
      </c>
      <c r="AB13" s="6" t="inlineStr">
        <is>
          <t>Contract Sign-off</t>
        </is>
      </c>
      <c r="AC13" s="20" t="n">
        <v>46262</v>
      </c>
      <c r="AD13" s="6" t="inlineStr">
        <is>
          <t>Pending</t>
        </is>
      </c>
      <c r="AE13" s="20" t="n">
        <v>46277</v>
      </c>
      <c r="AF13" s="20" t="n">
        <v>46262</v>
      </c>
      <c r="AG13" s="21">
        <f>Q13-Controls!$B$2</f>
        <v/>
      </c>
      <c r="AH13" s="12">
        <f>IF(R13="Missed",3,IF(AND(R13="Upcoming",AG13&lt;=Controls!$B$3),2,0))</f>
        <v/>
      </c>
      <c r="AI13" s="12">
        <f>IF(U13="Overdue",3,IF(U13="Due",2,IF(U13="Due Soon",1,0)))</f>
        <v/>
      </c>
      <c r="AJ13" s="12">
        <f>IF(X13="Missed",3,IF(X13="Ready",2,0))</f>
        <v/>
      </c>
      <c r="AK13" s="12">
        <f>IF(OR(AA13&gt;25,AA13&gt;Y13*(1+Controls!$B$5)),2,IF(Z13&lt;Y13,2,0))</f>
        <v/>
      </c>
      <c r="AL13" s="12">
        <f>IF(AND(AD13="Pending",Controls!$B$2-AC13&gt;Controls!$B$4),2,IF(AD13="Pending",1,0))</f>
        <v/>
      </c>
      <c r="AM13" s="12">
        <f>IF(O13&lt;15%,2,IF(O13&lt;Controls!$B$6,1,0))</f>
        <v/>
      </c>
      <c r="AN13" s="12">
        <f>SUM(AH13:AM13)</f>
        <v/>
      </c>
      <c r="AO13" s="12">
        <f>IF(AN13&gt;=Controls!$B$7,"High",IF(AN13&gt;=Controls!$B$8,"Medium","Normal"))</f>
        <v/>
      </c>
    </row>
    <row r="14">
      <c r="A14" s="6" t="inlineStr">
        <is>
          <t>P-013</t>
        </is>
      </c>
      <c r="B14" s="6" t="inlineStr">
        <is>
          <t>Lumen Data Quality</t>
        </is>
      </c>
      <c r="C14" s="6" t="inlineStr">
        <is>
          <t>Pioneer Automotive</t>
        </is>
      </c>
      <c r="D14" s="6" t="inlineStr">
        <is>
          <t>S. Verma</t>
        </is>
      </c>
      <c r="E14" s="6" t="inlineStr">
        <is>
          <t>PFA-05</t>
        </is>
      </c>
      <c r="F14" s="6" t="inlineStr">
        <is>
          <t>BA-07</t>
        </is>
      </c>
      <c r="G14" s="6" t="inlineStr">
        <is>
          <t>Active</t>
        </is>
      </c>
      <c r="H14" s="18" t="n">
        <v>470</v>
      </c>
      <c r="I14" s="18" t="n">
        <v>315</v>
      </c>
      <c r="J14" s="18" t="n">
        <v>260</v>
      </c>
      <c r="K14" s="18" t="n">
        <v>325</v>
      </c>
      <c r="L14" s="18" t="n">
        <v>250</v>
      </c>
      <c r="M14" s="18" t="n">
        <v>450</v>
      </c>
      <c r="N14" s="19">
        <f>IFERROR((L14-J14)/L14,0)</f>
        <v/>
      </c>
      <c r="O14" s="19">
        <f>IFERROR((M14-K14)/M14,0)</f>
        <v/>
      </c>
      <c r="P14" s="6" t="inlineStr">
        <is>
          <t>Data Validation</t>
        </is>
      </c>
      <c r="Q14" s="20" t="n">
        <v>46270</v>
      </c>
      <c r="R14" s="6" t="inlineStr">
        <is>
          <t>Upcoming</t>
        </is>
      </c>
      <c r="S14" s="18" t="n">
        <v>60</v>
      </c>
      <c r="T14" s="20" t="n">
        <v>46270</v>
      </c>
      <c r="U14" s="6" t="inlineStr">
        <is>
          <t>Due Soon</t>
        </is>
      </c>
      <c r="V14" s="6" t="inlineStr">
        <is>
          <t>Validation Revenue</t>
        </is>
      </c>
      <c r="W14" s="20" t="n">
        <v>46270</v>
      </c>
      <c r="X14" s="6" t="inlineStr">
        <is>
          <t>Ready</t>
        </is>
      </c>
      <c r="Y14" s="18" t="n">
        <v>130</v>
      </c>
      <c r="Z14" s="18" t="n">
        <v>90</v>
      </c>
      <c r="AA14" s="18" t="n">
        <v>118</v>
      </c>
      <c r="AB14" s="6" t="inlineStr">
        <is>
          <t>Validation Report</t>
        </is>
      </c>
      <c r="AC14" s="20" t="n">
        <v>46255</v>
      </c>
      <c r="AD14" s="6" t="inlineStr">
        <is>
          <t>Pending</t>
        </is>
      </c>
      <c r="AE14" s="20" t="n">
        <v>46269</v>
      </c>
      <c r="AF14" s="20" t="n">
        <v>46259</v>
      </c>
      <c r="AG14" s="21">
        <f>Q14-Controls!$B$2</f>
        <v/>
      </c>
      <c r="AH14" s="12">
        <f>IF(R14="Missed",3,IF(AND(R14="Upcoming",AG14&lt;=Controls!$B$3),2,0))</f>
        <v/>
      </c>
      <c r="AI14" s="12">
        <f>IF(U14="Overdue",3,IF(U14="Due",2,IF(U14="Due Soon",1,0)))</f>
        <v/>
      </c>
      <c r="AJ14" s="12">
        <f>IF(X14="Missed",3,IF(X14="Ready",2,0))</f>
        <v/>
      </c>
      <c r="AK14" s="12">
        <f>IF(OR(AA14&gt;25,AA14&gt;Y14*(1+Controls!$B$5)),2,IF(Z14&lt;Y14,2,0))</f>
        <v/>
      </c>
      <c r="AL14" s="12">
        <f>IF(AND(AD14="Pending",Controls!$B$2-AC14&gt;Controls!$B$4),2,IF(AD14="Pending",1,0))</f>
        <v/>
      </c>
      <c r="AM14" s="12">
        <f>IF(O14&lt;15%,2,IF(O14&lt;Controls!$B$6,1,0))</f>
        <v/>
      </c>
      <c r="AN14" s="12">
        <f>SUM(AH14:AM14)</f>
        <v/>
      </c>
      <c r="AO14" s="12">
        <f>IF(AN14&gt;=Controls!$B$7,"High",IF(AN14&gt;=Controls!$B$8,"Medium","Normal"))</f>
        <v/>
      </c>
    </row>
    <row r="15">
      <c r="A15" s="6" t="inlineStr">
        <is>
          <t>P-014</t>
        </is>
      </c>
      <c r="B15" s="6" t="inlineStr">
        <is>
          <t>Maple Supply Chain Planning</t>
        </is>
      </c>
      <c r="C15" s="6" t="inlineStr">
        <is>
          <t>Cobalt Chemicals</t>
        </is>
      </c>
      <c r="D15" s="6" t="inlineStr">
        <is>
          <t>R. Sen</t>
        </is>
      </c>
      <c r="E15" s="6" t="inlineStr">
        <is>
          <t>PFA-05</t>
        </is>
      </c>
      <c r="F15" s="6" t="inlineStr">
        <is>
          <t>BA-07</t>
        </is>
      </c>
      <c r="G15" s="6" t="inlineStr">
        <is>
          <t>Active</t>
        </is>
      </c>
      <c r="H15" s="18" t="n">
        <v>1020</v>
      </c>
      <c r="I15" s="18" t="n">
        <v>680</v>
      </c>
      <c r="J15" s="18" t="n">
        <v>515</v>
      </c>
      <c r="K15" s="18" t="n">
        <v>705</v>
      </c>
      <c r="L15" s="18" t="n">
        <v>560</v>
      </c>
      <c r="M15" s="18" t="n">
        <v>980</v>
      </c>
      <c r="N15" s="19">
        <f>IFERROR((L15-J15)/L15,0)</f>
        <v/>
      </c>
      <c r="O15" s="19">
        <f>IFERROR((M15-K15)/M15,0)</f>
        <v/>
      </c>
      <c r="P15" s="6" t="inlineStr">
        <is>
          <t>Planning Blueprint</t>
        </is>
      </c>
      <c r="Q15" s="20" t="n">
        <v>46276</v>
      </c>
      <c r="R15" s="6" t="inlineStr">
        <is>
          <t>Upcoming</t>
        </is>
      </c>
      <c r="S15" s="18" t="n">
        <v>160</v>
      </c>
      <c r="T15" s="20" t="n">
        <v>46277</v>
      </c>
      <c r="U15" s="6" t="inlineStr">
        <is>
          <t>Not Due</t>
        </is>
      </c>
      <c r="V15" s="6" t="inlineStr">
        <is>
          <t>Blueprint Revenue</t>
        </is>
      </c>
      <c r="W15" s="20" t="n">
        <v>46276</v>
      </c>
      <c r="X15" s="6" t="inlineStr">
        <is>
          <t>Pending</t>
        </is>
      </c>
      <c r="Y15" s="18" t="n">
        <v>300</v>
      </c>
      <c r="Z15" s="18" t="n">
        <v>295</v>
      </c>
      <c r="AA15" s="18" t="n">
        <v>305</v>
      </c>
      <c r="AB15" s="6" t="inlineStr">
        <is>
          <t>Blueprint Acceptance</t>
        </is>
      </c>
      <c r="AC15" s="20" t="n">
        <v>46264</v>
      </c>
      <c r="AD15" s="6" t="inlineStr">
        <is>
          <t>Pending</t>
        </is>
      </c>
      <c r="AE15" s="20" t="n">
        <v>46279</v>
      </c>
      <c r="AF15" s="20" t="n">
        <v>46264</v>
      </c>
      <c r="AG15" s="21">
        <f>Q15-Controls!$B$2</f>
        <v/>
      </c>
      <c r="AH15" s="12">
        <f>IF(R15="Missed",3,IF(AND(R15="Upcoming",AG15&lt;=Controls!$B$3),2,0))</f>
        <v/>
      </c>
      <c r="AI15" s="12">
        <f>IF(U15="Overdue",3,IF(U15="Due",2,IF(U15="Due Soon",1,0)))</f>
        <v/>
      </c>
      <c r="AJ15" s="12">
        <f>IF(X15="Missed",3,IF(X15="Ready",2,0))</f>
        <v/>
      </c>
      <c r="AK15" s="12">
        <f>IF(OR(AA15&gt;25,AA15&gt;Y15*(1+Controls!$B$5)),2,IF(Z15&lt;Y15,2,0))</f>
        <v/>
      </c>
      <c r="AL15" s="12">
        <f>IF(AND(AD15="Pending",Controls!$B$2-AC15&gt;Controls!$B$4),2,IF(AD15="Pending",1,0))</f>
        <v/>
      </c>
      <c r="AM15" s="12">
        <f>IF(O15&lt;15%,2,IF(O15&lt;Controls!$B$6,1,0))</f>
        <v/>
      </c>
      <c r="AN15" s="12">
        <f>SUM(AH15:AM15)</f>
        <v/>
      </c>
      <c r="AO15" s="12">
        <f>IF(AN15&gt;=Controls!$B$7,"High",IF(AN15&gt;=Controls!$B$8,"Medium","Normal"))</f>
        <v/>
      </c>
    </row>
    <row r="16">
      <c r="A16" s="6" t="inlineStr">
        <is>
          <t>P-015</t>
        </is>
      </c>
      <c r="B16" s="6" t="inlineStr">
        <is>
          <t>Nimbus Customer Portal</t>
        </is>
      </c>
      <c r="C16" s="6" t="inlineStr">
        <is>
          <t>Zenith Travel</t>
        </is>
      </c>
      <c r="D16" s="6" t="inlineStr">
        <is>
          <t>A. Roy</t>
        </is>
      </c>
      <c r="E16" s="6" t="inlineStr">
        <is>
          <t>PFA-05</t>
        </is>
      </c>
      <c r="F16" s="6" t="inlineStr">
        <is>
          <t>BA-08</t>
        </is>
      </c>
      <c r="G16" s="6" t="inlineStr">
        <is>
          <t>Active</t>
        </is>
      </c>
      <c r="H16" s="18" t="n">
        <v>820</v>
      </c>
      <c r="I16" s="18" t="n">
        <v>540</v>
      </c>
      <c r="J16" s="18" t="n">
        <v>410</v>
      </c>
      <c r="K16" s="18" t="n">
        <v>610</v>
      </c>
      <c r="L16" s="18" t="n">
        <v>455</v>
      </c>
      <c r="M16" s="18" t="n">
        <v>785</v>
      </c>
      <c r="N16" s="19">
        <f>IFERROR((L16-J16)/L16,0)</f>
        <v/>
      </c>
      <c r="O16" s="19">
        <f>IFERROR((M16-K16)/M16,0)</f>
        <v/>
      </c>
      <c r="P16" s="6" t="inlineStr">
        <is>
          <t>MVP Acceptance</t>
        </is>
      </c>
      <c r="Q16" s="20" t="n">
        <v>46261</v>
      </c>
      <c r="R16" s="6" t="inlineStr">
        <is>
          <t>Missed</t>
        </is>
      </c>
      <c r="S16" s="18" t="n">
        <v>110</v>
      </c>
      <c r="T16" s="20" t="n">
        <v>46262</v>
      </c>
      <c r="U16" s="6" t="inlineStr">
        <is>
          <t>Overdue</t>
        </is>
      </c>
      <c r="V16" s="6" t="inlineStr">
        <is>
          <t>MVP Revenue</t>
        </is>
      </c>
      <c r="W16" s="20" t="n">
        <v>46261</v>
      </c>
      <c r="X16" s="6" t="inlineStr">
        <is>
          <t>Missed</t>
        </is>
      </c>
      <c r="Y16" s="18" t="n">
        <v>220</v>
      </c>
      <c r="Z16" s="18" t="n">
        <v>220</v>
      </c>
      <c r="AA16" s="18" t="n">
        <v>252</v>
      </c>
      <c r="AB16" s="6" t="inlineStr">
        <is>
          <t>MVP Release</t>
        </is>
      </c>
      <c r="AC16" s="20" t="n">
        <v>46252</v>
      </c>
      <c r="AD16" s="6" t="inlineStr">
        <is>
          <t>Pending</t>
        </is>
      </c>
      <c r="AE16" s="20" t="n">
        <v>46259</v>
      </c>
      <c r="AF16" s="20" t="n">
        <v>46257</v>
      </c>
      <c r="AG16" s="21">
        <f>Q16-Controls!$B$2</f>
        <v/>
      </c>
      <c r="AH16" s="12">
        <f>IF(R16="Missed",3,IF(AND(R16="Upcoming",AG16&lt;=Controls!$B$3),2,0))</f>
        <v/>
      </c>
      <c r="AI16" s="12">
        <f>IF(U16="Overdue",3,IF(U16="Due",2,IF(U16="Due Soon",1,0)))</f>
        <v/>
      </c>
      <c r="AJ16" s="12">
        <f>IF(X16="Missed",3,IF(X16="Ready",2,0))</f>
        <v/>
      </c>
      <c r="AK16" s="12">
        <f>IF(OR(AA16&gt;25,AA16&gt;Y16*(1+Controls!$B$5)),2,IF(Z16&lt;Y16,2,0))</f>
        <v/>
      </c>
      <c r="AL16" s="12">
        <f>IF(AND(AD16="Pending",Controls!$B$2-AC16&gt;Controls!$B$4),2,IF(AD16="Pending",1,0))</f>
        <v/>
      </c>
      <c r="AM16" s="12">
        <f>IF(O16&lt;15%,2,IF(O16&lt;Controls!$B$6,1,0))</f>
        <v/>
      </c>
      <c r="AN16" s="12">
        <f>SUM(AH16:AM16)</f>
        <v/>
      </c>
      <c r="AO16" s="12">
        <f>IF(AN16&gt;=Controls!$B$7,"High",IF(AN16&gt;=Controls!$B$8,"Medium","Normal"))</f>
        <v/>
      </c>
    </row>
    <row r="17">
      <c r="A17" s="6" t="inlineStr">
        <is>
          <t>P-016</t>
        </is>
      </c>
      <c r="B17" s="6" t="inlineStr">
        <is>
          <t>Oak Security Controls</t>
        </is>
      </c>
      <c r="C17" s="6" t="inlineStr">
        <is>
          <t>Palisade Insurance</t>
        </is>
      </c>
      <c r="D17" s="6" t="inlineStr">
        <is>
          <t>M. Das</t>
        </is>
      </c>
      <c r="E17" s="6" t="inlineStr">
        <is>
          <t>PFA-06</t>
        </is>
      </c>
      <c r="F17" s="6" t="inlineStr">
        <is>
          <t>BA-08</t>
        </is>
      </c>
      <c r="G17" s="6" t="inlineStr">
        <is>
          <t>Active</t>
        </is>
      </c>
      <c r="H17" s="18" t="n">
        <v>740</v>
      </c>
      <c r="I17" s="18" t="n">
        <v>495</v>
      </c>
      <c r="J17" s="18" t="n">
        <v>360</v>
      </c>
      <c r="K17" s="18" t="n">
        <v>500</v>
      </c>
      <c r="L17" s="18" t="n">
        <v>420</v>
      </c>
      <c r="M17" s="18" t="n">
        <v>710</v>
      </c>
      <c r="N17" s="19">
        <f>IFERROR((L17-J17)/L17,0)</f>
        <v/>
      </c>
      <c r="O17" s="19">
        <f>IFERROR((M17-K17)/M17,0)</f>
        <v/>
      </c>
      <c r="P17" s="6" t="inlineStr">
        <is>
          <t>Controls Validation</t>
        </is>
      </c>
      <c r="Q17" s="20" t="n">
        <v>46278</v>
      </c>
      <c r="R17" s="6" t="inlineStr">
        <is>
          <t>Upcoming</t>
        </is>
      </c>
      <c r="S17" s="18" t="n">
        <v>100</v>
      </c>
      <c r="T17" s="20" t="n">
        <v>46278</v>
      </c>
      <c r="U17" s="6" t="inlineStr">
        <is>
          <t>Due Soon</t>
        </is>
      </c>
      <c r="V17" s="6" t="inlineStr">
        <is>
          <t>Validation Revenue</t>
        </is>
      </c>
      <c r="W17" s="20" t="n">
        <v>46278</v>
      </c>
      <c r="X17" s="6" t="inlineStr">
        <is>
          <t>Ready</t>
        </is>
      </c>
      <c r="Y17" s="18" t="n">
        <v>170</v>
      </c>
      <c r="Z17" s="18" t="n">
        <v>165</v>
      </c>
      <c r="AA17" s="18" t="n">
        <v>168</v>
      </c>
      <c r="AB17" s="6" t="inlineStr">
        <is>
          <t>Controls Report</t>
        </is>
      </c>
      <c r="AC17" s="20" t="n">
        <v>46264</v>
      </c>
      <c r="AD17" s="6" t="inlineStr">
        <is>
          <t>Pending</t>
        </is>
      </c>
      <c r="AE17" s="20" t="n">
        <v>46280</v>
      </c>
      <c r="AF17" s="20" t="n">
        <v>46264</v>
      </c>
      <c r="AG17" s="21">
        <f>Q17-Controls!$B$2</f>
        <v/>
      </c>
      <c r="AH17" s="12">
        <f>IF(R17="Missed",3,IF(AND(R17="Upcoming",AG17&lt;=Controls!$B$3),2,0))</f>
        <v/>
      </c>
      <c r="AI17" s="12">
        <f>IF(U17="Overdue",3,IF(U17="Due",2,IF(U17="Due Soon",1,0)))</f>
        <v/>
      </c>
      <c r="AJ17" s="12">
        <f>IF(X17="Missed",3,IF(X17="Ready",2,0))</f>
        <v/>
      </c>
      <c r="AK17" s="12">
        <f>IF(OR(AA17&gt;25,AA17&gt;Y17*(1+Controls!$B$5)),2,IF(Z17&lt;Y17,2,0))</f>
        <v/>
      </c>
      <c r="AL17" s="12">
        <f>IF(AND(AD17="Pending",Controls!$B$2-AC17&gt;Controls!$B$4),2,IF(AD17="Pending",1,0))</f>
        <v/>
      </c>
      <c r="AM17" s="12">
        <f>IF(O17&lt;15%,2,IF(O17&lt;Controls!$B$6,1,0))</f>
        <v/>
      </c>
      <c r="AN17" s="12">
        <f>SUM(AH17:AM17)</f>
        <v/>
      </c>
      <c r="AO17" s="12">
        <f>IF(AN17&gt;=Controls!$B$7,"High",IF(AN17&gt;=Controls!$B$8,"Medium","Normal"))</f>
        <v/>
      </c>
    </row>
    <row r="18">
      <c r="A18" s="6" t="inlineStr">
        <is>
          <t>P-017</t>
        </is>
      </c>
      <c r="B18" s="6" t="inlineStr">
        <is>
          <t>Pine HR Transformation</t>
        </is>
      </c>
      <c r="C18" s="6" t="inlineStr">
        <is>
          <t>Crescent Hotels</t>
        </is>
      </c>
      <c r="D18" s="6" t="inlineStr">
        <is>
          <t>K. Roy</t>
        </is>
      </c>
      <c r="E18" s="6" t="inlineStr">
        <is>
          <t>PFA-06</t>
        </is>
      </c>
      <c r="F18" s="6" t="inlineStr">
        <is>
          <t>BA-09</t>
        </is>
      </c>
      <c r="G18" s="6" t="inlineStr">
        <is>
          <t>Active</t>
        </is>
      </c>
      <c r="H18" s="18" t="n">
        <v>1250</v>
      </c>
      <c r="I18" s="18" t="n">
        <v>825</v>
      </c>
      <c r="J18" s="18" t="n">
        <v>625</v>
      </c>
      <c r="K18" s="18" t="n">
        <v>930</v>
      </c>
      <c r="L18" s="18" t="n">
        <v>655</v>
      </c>
      <c r="M18" s="18" t="n">
        <v>1160</v>
      </c>
      <c r="N18" s="19">
        <f>IFERROR((L18-J18)/L18,0)</f>
        <v/>
      </c>
      <c r="O18" s="19">
        <f>IFERROR((M18-K18)/M18,0)</f>
        <v/>
      </c>
      <c r="P18" s="6" t="inlineStr">
        <is>
          <t>Change Readiness</t>
        </is>
      </c>
      <c r="Q18" s="20" t="n">
        <v>46283</v>
      </c>
      <c r="R18" s="6" t="inlineStr">
        <is>
          <t>Upcoming</t>
        </is>
      </c>
      <c r="S18" s="18" t="n">
        <v>175</v>
      </c>
      <c r="T18" s="20" t="n">
        <v>46285</v>
      </c>
      <c r="U18" s="6" t="inlineStr">
        <is>
          <t>Not Due</t>
        </is>
      </c>
      <c r="V18" s="6" t="inlineStr">
        <is>
          <t>Readiness Revenue</t>
        </is>
      </c>
      <c r="W18" s="20" t="n">
        <v>46283</v>
      </c>
      <c r="X18" s="6" t="inlineStr">
        <is>
          <t>Pending</t>
        </is>
      </c>
      <c r="Y18" s="18" t="n">
        <v>410</v>
      </c>
      <c r="Z18" s="18" t="n">
        <v>400</v>
      </c>
      <c r="AA18" s="18" t="n">
        <v>425</v>
      </c>
      <c r="AB18" s="6" t="inlineStr">
        <is>
          <t>Readiness Assessment</t>
        </is>
      </c>
      <c r="AC18" s="20" t="n">
        <v>46263</v>
      </c>
      <c r="AD18" s="6" t="inlineStr">
        <is>
          <t>Pending</t>
        </is>
      </c>
      <c r="AE18" s="20" t="n">
        <v>46284</v>
      </c>
      <c r="AF18" s="20" t="n">
        <v>46263</v>
      </c>
      <c r="AG18" s="21">
        <f>Q18-Controls!$B$2</f>
        <v/>
      </c>
      <c r="AH18" s="12">
        <f>IF(R18="Missed",3,IF(AND(R18="Upcoming",AG18&lt;=Controls!$B$3),2,0))</f>
        <v/>
      </c>
      <c r="AI18" s="12">
        <f>IF(U18="Overdue",3,IF(U18="Due",2,IF(U18="Due Soon",1,0)))</f>
        <v/>
      </c>
      <c r="AJ18" s="12">
        <f>IF(X18="Missed",3,IF(X18="Ready",2,0))</f>
        <v/>
      </c>
      <c r="AK18" s="12">
        <f>IF(OR(AA18&gt;25,AA18&gt;Y18*(1+Controls!$B$5)),2,IF(Z18&lt;Y18,2,0))</f>
        <v/>
      </c>
      <c r="AL18" s="12">
        <f>IF(AND(AD18="Pending",Controls!$B$2-AC18&gt;Controls!$B$4),2,IF(AD18="Pending",1,0))</f>
        <v/>
      </c>
      <c r="AM18" s="12">
        <f>IF(O18&lt;15%,2,IF(O18&lt;Controls!$B$6,1,0))</f>
        <v/>
      </c>
      <c r="AN18" s="12">
        <f>SUM(AH18:AM18)</f>
        <v/>
      </c>
      <c r="AO18" s="12">
        <f>IF(AN18&gt;=Controls!$B$7,"High",IF(AN18&gt;=Controls!$B$8,"Medium","Normal"))</f>
        <v/>
      </c>
    </row>
    <row r="19">
      <c r="A19" s="6" t="inlineStr">
        <is>
          <t>P-018</t>
        </is>
      </c>
      <c r="B19" s="6" t="inlineStr">
        <is>
          <t>Quartz Service Desk</t>
        </is>
      </c>
      <c r="C19" s="6" t="inlineStr">
        <is>
          <t>Union Foods</t>
        </is>
      </c>
      <c r="D19" s="6" t="inlineStr">
        <is>
          <t>S. Roy</t>
        </is>
      </c>
      <c r="E19" s="6" t="inlineStr">
        <is>
          <t>PFA-06</t>
        </is>
      </c>
      <c r="F19" s="6" t="inlineStr">
        <is>
          <t>BA-09</t>
        </is>
      </c>
      <c r="G19" s="6" t="inlineStr">
        <is>
          <t>Active</t>
        </is>
      </c>
      <c r="H19" s="18" t="n">
        <v>510</v>
      </c>
      <c r="I19" s="18" t="n">
        <v>350</v>
      </c>
      <c r="J19" s="18" t="n">
        <v>290</v>
      </c>
      <c r="K19" s="18" t="n">
        <v>355</v>
      </c>
      <c r="L19" s="18" t="n">
        <v>300</v>
      </c>
      <c r="M19" s="18" t="n">
        <v>490</v>
      </c>
      <c r="N19" s="19">
        <f>IFERROR((L19-J19)/L19,0)</f>
        <v/>
      </c>
      <c r="O19" s="19">
        <f>IFERROR((M19-K19)/M19,0)</f>
        <v/>
      </c>
      <c r="P19" s="6" t="inlineStr">
        <is>
          <t>Operational Acceptance</t>
        </is>
      </c>
      <c r="Q19" s="20" t="n">
        <v>46272</v>
      </c>
      <c r="R19" s="6" t="inlineStr">
        <is>
          <t>Upcoming</t>
        </is>
      </c>
      <c r="S19" s="18" t="n">
        <v>75</v>
      </c>
      <c r="T19" s="20" t="n">
        <v>46273</v>
      </c>
      <c r="U19" s="6" t="inlineStr">
        <is>
          <t>Due Soon</t>
        </is>
      </c>
      <c r="V19" s="6" t="inlineStr">
        <is>
          <t>Acceptance Revenue</t>
        </is>
      </c>
      <c r="W19" s="20" t="n">
        <v>46272</v>
      </c>
      <c r="X19" s="6" t="inlineStr">
        <is>
          <t>Ready</t>
        </is>
      </c>
      <c r="Y19" s="18" t="n">
        <v>150</v>
      </c>
      <c r="Z19" s="18" t="n">
        <v>150</v>
      </c>
      <c r="AA19" s="18" t="n">
        <v>149</v>
      </c>
      <c r="AB19" s="6" t="inlineStr">
        <is>
          <t>Ops Acceptance</t>
        </is>
      </c>
      <c r="AC19" s="20" t="n">
        <v>46262</v>
      </c>
      <c r="AD19" s="6" t="inlineStr">
        <is>
          <t>Pending</t>
        </is>
      </c>
      <c r="AE19" s="20" t="n">
        <v>46272</v>
      </c>
      <c r="AF19" s="20" t="n">
        <v>46262</v>
      </c>
      <c r="AG19" s="21">
        <f>Q19-Controls!$B$2</f>
        <v/>
      </c>
      <c r="AH19" s="12">
        <f>IF(R19="Missed",3,IF(AND(R19="Upcoming",AG19&lt;=Controls!$B$3),2,0))</f>
        <v/>
      </c>
      <c r="AI19" s="12">
        <f>IF(U19="Overdue",3,IF(U19="Due",2,IF(U19="Due Soon",1,0)))</f>
        <v/>
      </c>
      <c r="AJ19" s="12">
        <f>IF(X19="Missed",3,IF(X19="Ready",2,0))</f>
        <v/>
      </c>
      <c r="AK19" s="12">
        <f>IF(OR(AA19&gt;25,AA19&gt;Y19*(1+Controls!$B$5)),2,IF(Z19&lt;Y19,2,0))</f>
        <v/>
      </c>
      <c r="AL19" s="12">
        <f>IF(AND(AD19="Pending",Controls!$B$2-AC19&gt;Controls!$B$4),2,IF(AD19="Pending",1,0))</f>
        <v/>
      </c>
      <c r="AM19" s="12">
        <f>IF(O19&lt;15%,2,IF(O19&lt;Controls!$B$6,1,0))</f>
        <v/>
      </c>
      <c r="AN19" s="12">
        <f>SUM(AH19:AM19)</f>
        <v/>
      </c>
      <c r="AO19" s="12">
        <f>IF(AN19&gt;=Controls!$B$7,"High",IF(AN19&gt;=Controls!$B$8,"Medium","Normal"))</f>
        <v/>
      </c>
    </row>
    <row r="20">
      <c r="A20" s="6" t="inlineStr">
        <is>
          <t>P-019</t>
        </is>
      </c>
      <c r="B20" s="6" t="inlineStr">
        <is>
          <t>River Procurement Analytics</t>
        </is>
      </c>
      <c r="C20" s="6" t="inlineStr">
        <is>
          <t>Eastline Transport</t>
        </is>
      </c>
      <c r="D20" s="6" t="inlineStr">
        <is>
          <t>A. Singh</t>
        </is>
      </c>
      <c r="E20" s="6" t="inlineStr">
        <is>
          <t>PFA-07</t>
        </is>
      </c>
      <c r="F20" s="6" t="inlineStr">
        <is>
          <t>BA-10</t>
        </is>
      </c>
      <c r="G20" s="6" t="inlineStr">
        <is>
          <t>Active</t>
        </is>
      </c>
      <c r="H20" s="18" t="n">
        <v>950</v>
      </c>
      <c r="I20" s="18" t="n">
        <v>630</v>
      </c>
      <c r="J20" s="18" t="n">
        <v>480</v>
      </c>
      <c r="K20" s="18" t="n">
        <v>650</v>
      </c>
      <c r="L20" s="18" t="n">
        <v>540</v>
      </c>
      <c r="M20" s="18" t="n">
        <v>900</v>
      </c>
      <c r="N20" s="19">
        <f>IFERROR((L20-J20)/L20,0)</f>
        <v/>
      </c>
      <c r="O20" s="19">
        <f>IFERROR((M20-K20)/M20,0)</f>
        <v/>
      </c>
      <c r="P20" s="6" t="inlineStr">
        <is>
          <t>Analytics Prototype</t>
        </is>
      </c>
      <c r="Q20" s="20" t="n">
        <v>46281</v>
      </c>
      <c r="R20" s="6" t="inlineStr">
        <is>
          <t>Upcoming</t>
        </is>
      </c>
      <c r="S20" s="18" t="n">
        <v>140</v>
      </c>
      <c r="T20" s="20" t="n">
        <v>46282</v>
      </c>
      <c r="U20" s="6" t="inlineStr">
        <is>
          <t>Not Due</t>
        </is>
      </c>
      <c r="V20" s="6" t="inlineStr">
        <is>
          <t>Prototype Revenue</t>
        </is>
      </c>
      <c r="W20" s="20" t="n">
        <v>46281</v>
      </c>
      <c r="X20" s="6" t="inlineStr">
        <is>
          <t>Pending</t>
        </is>
      </c>
      <c r="Y20" s="18" t="n">
        <v>260</v>
      </c>
      <c r="Z20" s="18" t="n">
        <v>260</v>
      </c>
      <c r="AA20" s="18" t="n">
        <v>262</v>
      </c>
      <c r="AB20" s="6" t="inlineStr">
        <is>
          <t>Prototype Review</t>
        </is>
      </c>
      <c r="AC20" s="20" t="n">
        <v>46265</v>
      </c>
      <c r="AD20" s="6" t="inlineStr">
        <is>
          <t>Accepted</t>
        </is>
      </c>
      <c r="AE20" s="20" t="n">
        <v>46283</v>
      </c>
      <c r="AF20" s="20" t="n">
        <v>46265</v>
      </c>
      <c r="AG20" s="21">
        <f>Q20-Controls!$B$2</f>
        <v/>
      </c>
      <c r="AH20" s="12">
        <f>IF(R20="Missed",3,IF(AND(R20="Upcoming",AG20&lt;=Controls!$B$3),2,0))</f>
        <v/>
      </c>
      <c r="AI20" s="12">
        <f>IF(U20="Overdue",3,IF(U20="Due",2,IF(U20="Due Soon",1,0)))</f>
        <v/>
      </c>
      <c r="AJ20" s="12">
        <f>IF(X20="Missed",3,IF(X20="Ready",2,0))</f>
        <v/>
      </c>
      <c r="AK20" s="12">
        <f>IF(OR(AA20&gt;25,AA20&gt;Y20*(1+Controls!$B$5)),2,IF(Z20&lt;Y20,2,0))</f>
        <v/>
      </c>
      <c r="AL20" s="12">
        <f>IF(AND(AD20="Pending",Controls!$B$2-AC20&gt;Controls!$B$4),2,IF(AD20="Pending",1,0))</f>
        <v/>
      </c>
      <c r="AM20" s="12">
        <f>IF(O20&lt;15%,2,IF(O20&lt;Controls!$B$6,1,0))</f>
        <v/>
      </c>
      <c r="AN20" s="12">
        <f>SUM(AH20:AM20)</f>
        <v/>
      </c>
      <c r="AO20" s="12">
        <f>IF(AN20&gt;=Controls!$B$7,"High",IF(AN20&gt;=Controls!$B$8,"Medium","Normal"))</f>
        <v/>
      </c>
    </row>
    <row r="21">
      <c r="A21" s="6" t="inlineStr">
        <is>
          <t>P-020</t>
        </is>
      </c>
      <c r="B21" s="6" t="inlineStr">
        <is>
          <t>Summit Revenue Assurance</t>
        </is>
      </c>
      <c r="C21" s="6" t="inlineStr">
        <is>
          <t>Vantage Tech</t>
        </is>
      </c>
      <c r="D21" s="6" t="inlineStr">
        <is>
          <t>P. Singh</t>
        </is>
      </c>
      <c r="E21" s="6" t="inlineStr">
        <is>
          <t>PFA-07</t>
        </is>
      </c>
      <c r="F21" s="6" t="inlineStr">
        <is>
          <t>BA-10</t>
        </is>
      </c>
      <c r="G21" s="6" t="inlineStr">
        <is>
          <t>Active</t>
        </is>
      </c>
      <c r="H21" s="18" t="n">
        <v>1320</v>
      </c>
      <c r="I21" s="18" t="n">
        <v>860</v>
      </c>
      <c r="J21" s="18" t="n">
        <v>670</v>
      </c>
      <c r="K21" s="18" t="n">
        <v>970</v>
      </c>
      <c r="L21" s="18" t="n">
        <v>720</v>
      </c>
      <c r="M21" s="18" t="n">
        <v>1200</v>
      </c>
      <c r="N21" s="19">
        <f>IFERROR((L21-J21)/L21,0)</f>
        <v/>
      </c>
      <c r="O21" s="19">
        <f>IFERROR((M21-K21)/M21,0)</f>
        <v/>
      </c>
      <c r="P21" s="6" t="inlineStr">
        <is>
          <t>Revenue Validation</t>
        </is>
      </c>
      <c r="Q21" s="20" t="n">
        <v>46268</v>
      </c>
      <c r="R21" s="6" t="inlineStr">
        <is>
          <t>Upcoming</t>
        </is>
      </c>
      <c r="S21" s="18" t="n">
        <v>210</v>
      </c>
      <c r="T21" s="20" t="n">
        <v>46269</v>
      </c>
      <c r="U21" s="6" t="inlineStr">
        <is>
          <t>Due Soon</t>
        </is>
      </c>
      <c r="V21" s="6" t="inlineStr">
        <is>
          <t>Validation Revenue</t>
        </is>
      </c>
      <c r="W21" s="20" t="n">
        <v>46268</v>
      </c>
      <c r="X21" s="6" t="inlineStr">
        <is>
          <t>Ready</t>
        </is>
      </c>
      <c r="Y21" s="18" t="n">
        <v>340</v>
      </c>
      <c r="Z21" s="18" t="n">
        <v>320</v>
      </c>
      <c r="AA21" s="18" t="n">
        <v>345</v>
      </c>
      <c r="AB21" s="6" t="inlineStr">
        <is>
          <t>Validation Sign-off</t>
        </is>
      </c>
      <c r="AC21" s="20" t="n">
        <v>46263</v>
      </c>
      <c r="AD21" s="6" t="inlineStr">
        <is>
          <t>Pending</t>
        </is>
      </c>
      <c r="AE21" s="20" t="n">
        <v>46270</v>
      </c>
      <c r="AF21" s="20" t="n">
        <v>46263</v>
      </c>
      <c r="AG21" s="21">
        <f>Q21-Controls!$B$2</f>
        <v/>
      </c>
      <c r="AH21" s="12">
        <f>IF(R21="Missed",3,IF(AND(R21="Upcoming",AG21&lt;=Controls!$B$3),2,0))</f>
        <v/>
      </c>
      <c r="AI21" s="12">
        <f>IF(U21="Overdue",3,IF(U21="Due",2,IF(U21="Due Soon",1,0)))</f>
        <v/>
      </c>
      <c r="AJ21" s="12">
        <f>IF(X21="Missed",3,IF(X21="Ready",2,0))</f>
        <v/>
      </c>
      <c r="AK21" s="12">
        <f>IF(OR(AA21&gt;25,AA21&gt;Y21*(1+Controls!$B$5)),2,IF(Z21&lt;Y21,2,0))</f>
        <v/>
      </c>
      <c r="AL21" s="12">
        <f>IF(AND(AD21="Pending",Controls!$B$2-AC21&gt;Controls!$B$4),2,IF(AD21="Pending",1,0))</f>
        <v/>
      </c>
      <c r="AM21" s="12">
        <f>IF(O21&lt;15%,2,IF(O21&lt;Controls!$B$6,1,0))</f>
        <v/>
      </c>
      <c r="AN21" s="12">
        <f>SUM(AH21:AM21)</f>
        <v/>
      </c>
      <c r="AO21" s="12">
        <f>IF(AN21&gt;=Controls!$B$7,"High",IF(AN21&gt;=Controls!$B$8,"Medium","Normal"))</f>
        <v/>
      </c>
    </row>
  </sheetData>
  <autoFilter ref="A1:AO21"/>
  <conditionalFormatting sqref="AO2:AO21">
    <cfRule type="cellIs" priority="1" operator="equal" dxfId="0">
      <formula>"High"</formula>
    </cfRule>
    <cfRule type="cellIs" priority="2" operator="equal" dxfId="1">
      <formula>"Medium"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8" customWidth="1" min="3" max="3"/>
    <col width="42" customWidth="1" min="4" max="4"/>
    <col width="28" customWidth="1" min="5" max="5"/>
    <col width="42" customWidth="1" min="6" max="6"/>
  </cols>
  <sheetData>
    <row r="1" ht="34" customHeight="1">
      <c r="A1" s="11" t="inlineStr">
        <is>
          <t>No.</t>
        </is>
      </c>
      <c r="B1" s="11" t="inlineStr">
        <is>
          <t>Persona</t>
        </is>
      </c>
      <c r="C1" s="11" t="inlineStr">
        <is>
          <t>Natural-language command</t>
        </is>
      </c>
      <c r="D1" s="11" t="inlineStr">
        <is>
          <t>Expected answer intent</t>
        </is>
      </c>
      <c r="E1" s="11" t="inlineStr">
        <is>
          <t>Primary data domains</t>
        </is>
      </c>
      <c r="F1" s="11" t="inlineStr">
        <is>
          <t>Priority logic</t>
        </is>
      </c>
    </row>
    <row r="2">
      <c r="A2" s="12" t="n">
        <v>1</v>
      </c>
      <c r="B2" s="13" t="inlineStr">
        <is>
          <t>Project Financial Analyst</t>
        </is>
      </c>
      <c r="C2" s="12" t="inlineStr">
        <is>
          <t>Which projects need my attention today?</t>
        </is>
      </c>
      <c r="D2" s="13" t="inlineStr">
        <is>
          <t>Rank portfolio exceptions by urgency and financial/operational impact</t>
        </is>
      </c>
      <c r="E2" s="13" t="inlineStr">
        <is>
          <t>Milestones, Billing, Revenue, Time, Acceptance, Margin</t>
        </is>
      </c>
      <c r="F2" s="13" t="inlineStr">
        <is>
          <t>High score first; explain evidence and next action</t>
        </is>
      </c>
    </row>
    <row r="3">
      <c r="A3" s="12" t="n">
        <v>2</v>
      </c>
      <c r="B3" s="13" t="inlineStr">
        <is>
          <t>Project Financial Analyst / Business Analyst</t>
        </is>
      </c>
      <c r="C3" s="12" t="inlineStr">
        <is>
          <t>Which project milestones are due in the next 14 days?</t>
        </is>
      </c>
      <c r="D3" s="13" t="inlineStr">
        <is>
          <t>List upcoming milestones with dates and owners</t>
        </is>
      </c>
      <c r="E3" s="13" t="inlineStr">
        <is>
          <t>Milestones</t>
        </is>
      </c>
      <c r="F3" s="13" t="inlineStr">
        <is>
          <t>Due date within 14 days</t>
        </is>
      </c>
    </row>
    <row r="4">
      <c r="A4" s="12" t="n">
        <v>3</v>
      </c>
      <c r="B4" s="13" t="inlineStr">
        <is>
          <t>Project Financial Analyst / Business Analyst</t>
        </is>
      </c>
      <c r="C4" s="12" t="inlineStr">
        <is>
          <t>Which milestones have been missed?</t>
        </is>
      </c>
      <c r="D4" s="13" t="inlineStr">
        <is>
          <t>List overdue milestones and days overdue</t>
        </is>
      </c>
      <c r="E4" s="13" t="inlineStr">
        <is>
          <t>Milestones</t>
        </is>
      </c>
      <c r="F4" s="13" t="inlineStr">
        <is>
          <t>Milestone status = Missed</t>
        </is>
      </c>
    </row>
    <row r="5">
      <c r="A5" s="12" t="n">
        <v>4</v>
      </c>
      <c r="B5" s="13" t="inlineStr">
        <is>
          <t>Project Financial Analyst</t>
        </is>
      </c>
      <c r="C5" s="12" t="inlineStr">
        <is>
          <t>Which projects have invoicing due?</t>
        </is>
      </c>
      <c r="D5" s="13" t="inlineStr">
        <is>
          <t>Identify invoices due or overdue</t>
        </is>
      </c>
      <c r="E5" s="13" t="inlineStr">
        <is>
          <t>Billing</t>
        </is>
      </c>
      <c r="F5" s="13" t="inlineStr">
        <is>
          <t>Invoice status = Due / Overdue</t>
        </is>
      </c>
    </row>
    <row r="6">
      <c r="A6" s="12" t="n">
        <v>5</v>
      </c>
      <c r="B6" s="13" t="inlineStr">
        <is>
          <t>Project Financial Analyst</t>
        </is>
      </c>
      <c r="C6" s="12" t="inlineStr">
        <is>
          <t>Which projects have revenue to be recognised?</t>
        </is>
      </c>
      <c r="D6" s="13" t="inlineStr">
        <is>
          <t>Identify revenue events ready for recognition</t>
        </is>
      </c>
      <c r="E6" s="13" t="inlineStr">
        <is>
          <t>Revenue</t>
        </is>
      </c>
      <c r="F6" s="13" t="inlineStr">
        <is>
          <t>Revenue status = Ready</t>
        </is>
      </c>
    </row>
    <row r="7">
      <c r="A7" s="12" t="n">
        <v>6</v>
      </c>
      <c r="B7" s="13" t="inlineStr">
        <is>
          <t>Project Financial Analyst</t>
        </is>
      </c>
      <c r="C7" s="12" t="inlineStr">
        <is>
          <t>Which projects have potential missed revenue recognition?</t>
        </is>
      </c>
      <c r="D7" s="13" t="inlineStr">
        <is>
          <t>Identify expected revenue dates that have passed without recognition</t>
        </is>
      </c>
      <c r="E7" s="13" t="inlineStr">
        <is>
          <t>Revenue</t>
        </is>
      </c>
      <c r="F7" s="13" t="inlineStr">
        <is>
          <t>Revenue status = Missed</t>
        </is>
      </c>
    </row>
    <row r="8">
      <c r="A8" s="12" t="n">
        <v>7</v>
      </c>
      <c r="B8" s="13" t="inlineStr">
        <is>
          <t>Project Financial Analyst</t>
        </is>
      </c>
      <c r="C8" s="12" t="inlineStr">
        <is>
          <t>Which projects have missing time entries?</t>
        </is>
      </c>
      <c r="D8" s="13" t="inlineStr">
        <is>
          <t>Identify projects where submitted hours are below planned expectations</t>
        </is>
      </c>
      <c r="E8" s="13" t="inlineStr">
        <is>
          <t>Time</t>
        </is>
      </c>
      <c r="F8" s="13" t="inlineStr">
        <is>
          <t>Submitted hours &lt; planned hours</t>
        </is>
      </c>
    </row>
    <row r="9">
      <c r="A9" s="12" t="n">
        <v>8</v>
      </c>
      <c r="B9" s="13" t="inlineStr">
        <is>
          <t>Project Financial Analyst / Business Analyst</t>
        </is>
      </c>
      <c r="C9" s="12" t="inlineStr">
        <is>
          <t>Which projects have excess time?</t>
        </is>
      </c>
      <c r="D9" s="13" t="inlineStr">
        <is>
          <t>Identify projects where actual hours materially exceed plan</t>
        </is>
      </c>
      <c r="E9" s="13" t="inlineStr">
        <is>
          <t>Time</t>
        </is>
      </c>
      <c r="F9" s="13" t="inlineStr">
        <is>
          <t>Actual hours &gt; planned hours by threshold</t>
        </is>
      </c>
    </row>
    <row r="10">
      <c r="A10" s="12" t="n">
        <v>9</v>
      </c>
      <c r="B10" s="13" t="inlineStr">
        <is>
          <t>Business Analyst</t>
        </is>
      </c>
      <c r="C10" s="12" t="inlineStr">
        <is>
          <t>Which projects are waiting for customer acceptance?</t>
        </is>
      </c>
      <c r="D10" s="13" t="inlineStr">
        <is>
          <t>List deliverables submitted but still awaiting customer response</t>
        </is>
      </c>
      <c r="E10" s="13" t="inlineStr">
        <is>
          <t>Customer Acceptance</t>
        </is>
      </c>
      <c r="F10" s="13" t="inlineStr">
        <is>
          <t>Pending acceptance beyond threshold</t>
        </is>
      </c>
    </row>
    <row r="11">
      <c r="A11" s="12" t="n">
        <v>10</v>
      </c>
      <c r="B11" s="13" t="inlineStr">
        <is>
          <t>Project Financial Analyst</t>
        </is>
      </c>
      <c r="C11" s="12" t="inlineStr">
        <is>
          <t>Which projects show deteriorating financial health?</t>
        </is>
      </c>
      <c r="D11" s="13" t="inlineStr">
        <is>
          <t>Highlight margin or forecast deterioration</t>
        </is>
      </c>
      <c r="E11" s="13" t="inlineStr">
        <is>
          <t>Financial</t>
        </is>
      </c>
      <c r="F11" s="13" t="inlineStr">
        <is>
          <t>Low forecast margin and adverse forecast trend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52" customWidth="1" min="3" max="3"/>
  </cols>
  <sheetData>
    <row r="1">
      <c r="A1" s="14" t="inlineStr">
        <is>
          <t>Control</t>
        </is>
      </c>
      <c r="B1" s="14" t="inlineStr">
        <is>
          <t>Value</t>
        </is>
      </c>
      <c r="C1" s="14" t="inlineStr">
        <is>
          <t>Purpose</t>
        </is>
      </c>
    </row>
    <row r="2">
      <c r="A2" t="inlineStr">
        <is>
          <t>As of Date</t>
        </is>
      </c>
      <c r="B2" s="22" t="n">
        <v>46267</v>
      </c>
      <c r="C2" t="inlineStr">
        <is>
          <t>Prototype evaluation date</t>
        </is>
      </c>
    </row>
    <row r="3">
      <c r="A3" t="inlineStr">
        <is>
          <t>Upcoming Milestone Window (days)</t>
        </is>
      </c>
      <c r="B3" s="16" t="n">
        <v>14</v>
      </c>
      <c r="C3" t="inlineStr">
        <is>
          <t>Questions about milestones approaching</t>
        </is>
      </c>
    </row>
    <row r="4">
      <c r="A4" t="inlineStr">
        <is>
          <t>Customer Acceptance Threshold (days)</t>
        </is>
      </c>
      <c r="B4" s="16" t="n">
        <v>5</v>
      </c>
      <c r="C4" t="inlineStr">
        <is>
          <t>Days pending before priority increases</t>
        </is>
      </c>
    </row>
    <row r="5">
      <c r="A5" t="inlineStr">
        <is>
          <t>Excess Time Threshold (%)</t>
        </is>
      </c>
      <c r="B5" s="17" t="n">
        <v>0.1</v>
      </c>
      <c r="C5" t="inlineStr">
        <is>
          <t>Actual hours above planned hours</t>
        </is>
      </c>
    </row>
    <row r="6">
      <c r="A6" t="inlineStr">
        <is>
          <t>Low Forecast Margin Threshold (%)</t>
        </is>
      </c>
      <c r="B6" s="17" t="n">
        <v>0.2</v>
      </c>
      <c r="C6" t="inlineStr">
        <is>
          <t>Flags financial health attention</t>
        </is>
      </c>
    </row>
    <row r="7">
      <c r="A7" t="inlineStr">
        <is>
          <t>High Attention Score</t>
        </is>
      </c>
      <c r="B7" s="16" t="n">
        <v>7</v>
      </c>
      <c r="C7" t="inlineStr">
        <is>
          <t>High-priority projects</t>
        </is>
      </c>
    </row>
    <row r="8">
      <c r="A8" t="inlineStr">
        <is>
          <t>Medium Attention Score</t>
        </is>
      </c>
      <c r="B8" s="16" t="n">
        <v>4</v>
      </c>
      <c r="C8" t="inlineStr">
        <is>
          <t>Medium-priority projects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2026-09-01T19:48:37Z</dcterms:created>
  <dcterms:modified xmlns:dcterms="http://purl.org/dc/terms/" xmlns:xsi="http://www.w3.org/2001/XMLSchema-instance" xsi:type="dcterms:W3CDTF">2026-09-01T19:49:37Z</dcterms:modified>
</cp:coreProperties>
</file>